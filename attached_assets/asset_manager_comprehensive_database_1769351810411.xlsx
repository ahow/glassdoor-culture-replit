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M Data" sheetId="1" state="visible" r:id="rId3"/>
    <sheet name="Financials &amp; Profitability" sheetId="2" state="visible" r:id="rId4"/>
    <sheet name="Business Performance" sheetId="3" state="visible" r:id="rId5"/>
    <sheet name="Shareholder Returns" sheetId="4" state="visible" r:id="rId6"/>
    <sheet name="Growth Analysis" sheetId="5" state="visible" r:id="rId7"/>
    <sheet name="Sources &amp;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<sst xmlns="http://schemas.openxmlformats.org/spreadsheetml/2006/main" count="540" uniqueCount="321">
  <si>
    <t xml:space="preserve">Company</t>
  </si>
  <si>
    <t xml:space="preserve">Type</t>
  </si>
  <si>
    <t xml:space="preserve">2019 AUM ($bn)</t>
  </si>
  <si>
    <t xml:space="preserve">2020 AUM ($bn)</t>
  </si>
  <si>
    <t xml:space="preserve">2021 AUM ($bn)</t>
  </si>
  <si>
    <t xml:space="preserve">2022 AUM ($bn)</t>
  </si>
  <si>
    <t xml:space="preserve">2023 AUM ($bn)</t>
  </si>
  <si>
    <t xml:space="preserve">2024 AUM ($bn)</t>
  </si>
  <si>
    <t xml:space="preserve">5Y CAGR</t>
  </si>
  <si>
    <t xml:space="preserve">5Y Absolute Growth ($bn)</t>
  </si>
  <si>
    <t xml:space="preserve">Data Quality</t>
  </si>
  <si>
    <t xml:space="preserve">BlackRock</t>
  </si>
  <si>
    <t xml:space="preserve">Independent</t>
  </si>
  <si>
    <t xml:space="preserve">High - Public filings</t>
  </si>
  <si>
    <t xml:space="preserve">Vanguard Group</t>
  </si>
  <si>
    <t xml:space="preserve">Independent/Mutual</t>
  </si>
  <si>
    <t xml:space="preserve">Fidelity Investments</t>
  </si>
  <si>
    <t xml:space="preserve">Independent/Private</t>
  </si>
  <si>
    <t xml:space="preserve">Medium - Press/Industry</t>
  </si>
  <si>
    <t xml:space="preserve">Capital Group</t>
  </si>
  <si>
    <t xml:space="preserve">T. Rowe Price</t>
  </si>
  <si>
    <t xml:space="preserve">Franklin Templeton</t>
  </si>
  <si>
    <t xml:space="preserve">Invesco</t>
  </si>
  <si>
    <t xml:space="preserve">AllianceBernstein</t>
  </si>
  <si>
    <t xml:space="preserve">Dimensional Fund Advisors</t>
  </si>
  <si>
    <t xml:space="preserve">Federated Hermes</t>
  </si>
  <si>
    <t xml:space="preserve">Wellington Management</t>
  </si>
  <si>
    <t xml:space="preserve">Pimco</t>
  </si>
  <si>
    <t xml:space="preserve">Independent (Allianz sub)</t>
  </si>
  <si>
    <t xml:space="preserve">Fidelity International</t>
  </si>
  <si>
    <t xml:space="preserve">Schroders</t>
  </si>
  <si>
    <t xml:space="preserve">Lazard</t>
  </si>
  <si>
    <t xml:space="preserve">Affiliated Managers Group</t>
  </si>
  <si>
    <t xml:space="preserve">Multi-Affiliate</t>
  </si>
  <si>
    <t xml:space="preserve">Artisan Partners</t>
  </si>
  <si>
    <t xml:space="preserve">Liontrust Asset Management</t>
  </si>
  <si>
    <t xml:space="preserve">State Street Global Advisors</t>
  </si>
  <si>
    <t xml:space="preserve">Bank</t>
  </si>
  <si>
    <t xml:space="preserve">J.P. Morgan Chase</t>
  </si>
  <si>
    <t xml:space="preserve">Goldman Sachs Group</t>
  </si>
  <si>
    <t xml:space="preserve">Morgan Stanley</t>
  </si>
  <si>
    <t xml:space="preserve">UBS Group</t>
  </si>
  <si>
    <t xml:space="preserve">BNY Investments</t>
  </si>
  <si>
    <t xml:space="preserve">Northern Trust</t>
  </si>
  <si>
    <t xml:space="preserve">BNP Paribas</t>
  </si>
  <si>
    <t xml:space="preserve">Estimate - Industry data</t>
  </si>
  <si>
    <t xml:space="preserve">Natixis</t>
  </si>
  <si>
    <t xml:space="preserve">Amundi</t>
  </si>
  <si>
    <t xml:space="preserve">Bank (Credit Agricole)</t>
  </si>
  <si>
    <t xml:space="preserve">Julius Baer</t>
  </si>
  <si>
    <t xml:space="preserve">Mitsubishi UFJ Financial</t>
  </si>
  <si>
    <t xml:space="preserve">Sumitomo Mitsui Financial</t>
  </si>
  <si>
    <t xml:space="preserve">Rothschild &amp; Co</t>
  </si>
  <si>
    <t xml:space="preserve">Bank/Family</t>
  </si>
  <si>
    <t xml:space="preserve">Allianz Group</t>
  </si>
  <si>
    <t xml:space="preserve">Insurance</t>
  </si>
  <si>
    <t xml:space="preserve">AXA Group</t>
  </si>
  <si>
    <t xml:space="preserve">Legal &amp; General</t>
  </si>
  <si>
    <t xml:space="preserve">M&amp;G plc</t>
  </si>
  <si>
    <t xml:space="preserve">Prudential Financial (PGIM)</t>
  </si>
  <si>
    <t xml:space="preserve">Manulife Financial</t>
  </si>
  <si>
    <t xml:space="preserve">Principal Financial</t>
  </si>
  <si>
    <t xml:space="preserve">Equitable Holdings</t>
  </si>
  <si>
    <t xml:space="preserve">Voya Financial</t>
  </si>
  <si>
    <t xml:space="preserve">Insurance/Retirement</t>
  </si>
  <si>
    <t xml:space="preserve">Zurich Insurance</t>
  </si>
  <si>
    <t xml:space="preserve">Ameriprise Financial</t>
  </si>
  <si>
    <t xml:space="preserve">Blackstone</t>
  </si>
  <si>
    <t xml:space="preserve">Alternative</t>
  </si>
  <si>
    <t xml:space="preserve">Brookfield</t>
  </si>
  <si>
    <t xml:space="preserve">KKR</t>
  </si>
  <si>
    <t xml:space="preserve">Apollo Global Management</t>
  </si>
  <si>
    <t xml:space="preserve">Carlyle Group</t>
  </si>
  <si>
    <t xml:space="preserve">Ares Management</t>
  </si>
  <si>
    <t xml:space="preserve">CVC Capital Partners</t>
  </si>
  <si>
    <t xml:space="preserve">Macquarie Group</t>
  </si>
  <si>
    <t xml:space="preserve">Alternative/Bank</t>
  </si>
  <si>
    <t xml:space="preserve">Eurazeo</t>
  </si>
  <si>
    <t xml:space="preserve">Sycamore Partners</t>
  </si>
  <si>
    <t xml:space="preserve">Alternative/Private</t>
  </si>
  <si>
    <t xml:space="preserve">AssetMark</t>
  </si>
  <si>
    <t xml:space="preserve">Wealth Platform</t>
  </si>
  <si>
    <t xml:space="preserve">Wilshire Associates</t>
  </si>
  <si>
    <t xml:space="preserve">Advisory/Index</t>
  </si>
  <si>
    <t xml:space="preserve">HDFC Asset Management</t>
  </si>
  <si>
    <t xml:space="preserve">Independent (India)</t>
  </si>
  <si>
    <t xml:space="preserve">Markel Corporation</t>
  </si>
  <si>
    <t xml:space="preserve">Insurance/Holdings</t>
  </si>
  <si>
    <t xml:space="preserve">Torchlight Energy</t>
  </si>
  <si>
    <t xml:space="preserve">Energy (Not AM)</t>
  </si>
  <si>
    <t xml:space="preserve">Westpac Banking</t>
  </si>
  <si>
    <t xml:space="preserve">Bank (Limited AM)</t>
  </si>
  <si>
    <t xml:space="preserve">Wolverine World Wide</t>
  </si>
  <si>
    <t xml:space="preserve">Footwear (Not AM)</t>
  </si>
  <si>
    <t xml:space="preserve">Waddell &amp; Reed Financial</t>
  </si>
  <si>
    <t xml:space="preserve">Acquired 2021</t>
  </si>
  <si>
    <t xml:space="preserve">2019 Rev ($m)</t>
  </si>
  <si>
    <t xml:space="preserve">2020 Rev ($m)</t>
  </si>
  <si>
    <t xml:space="preserve">2021 Rev ($m)</t>
  </si>
  <si>
    <t xml:space="preserve">2022 Rev ($m)</t>
  </si>
  <si>
    <t xml:space="preserve">2023 Rev ($m)</t>
  </si>
  <si>
    <t xml:space="preserve">2024 Rev ($m)</t>
  </si>
  <si>
    <t xml:space="preserve">2019 OpInc ($m)</t>
  </si>
  <si>
    <t xml:space="preserve">2020 OpInc ($m)</t>
  </si>
  <si>
    <t xml:space="preserve">2021 OpInc ($m)</t>
  </si>
  <si>
    <t xml:space="preserve">2022 OpInc ($m)</t>
  </si>
  <si>
    <t xml:space="preserve">2023 OpInc ($m)</t>
  </si>
  <si>
    <t xml:space="preserve">2024 OpInc ($m)</t>
  </si>
  <si>
    <t xml:space="preserve">2019 NetInc ($m)</t>
  </si>
  <si>
    <t xml:space="preserve">2020 NetInc ($m)</t>
  </si>
  <si>
    <t xml:space="preserve">2021 NetInc ($m)</t>
  </si>
  <si>
    <t xml:space="preserve">2022 NetInc ($m)</t>
  </si>
  <si>
    <t xml:space="preserve">2023 NetInc ($m)</t>
  </si>
  <si>
    <t xml:space="preserve">2024 NetInc ($m)</t>
  </si>
  <si>
    <t xml:space="preserve">5Y Rev CAGR</t>
  </si>
  <si>
    <t xml:space="preserve">2024 Op Margin</t>
  </si>
  <si>
    <t xml:space="preserve">5Y Avg Op Margin</t>
  </si>
  <si>
    <t xml:space="preserve">2024 Net Margin</t>
  </si>
  <si>
    <t xml:space="preserve">5Y Avg Net Margin</t>
  </si>
  <si>
    <t xml:space="preserve">State Street (Corp)</t>
  </si>
  <si>
    <t xml:space="preserve">Morgan Stanley IM Division</t>
  </si>
  <si>
    <t xml:space="preserve">Goldman Sachs AM Division</t>
  </si>
  <si>
    <t xml:space="preserve">Prudential Fin (PGIM)</t>
  </si>
  <si>
    <t xml:space="preserve">2024 Equity ($m)</t>
  </si>
  <si>
    <t xml:space="preserve">2024 ROE (%)</t>
  </si>
  <si>
    <t xml:space="preserve">5Y Avg ROE (%)</t>
  </si>
  <si>
    <t xml:space="preserve">Rev Yield (bps)</t>
  </si>
  <si>
    <t xml:space="preserve">Fee-Earning AUM %</t>
  </si>
  <si>
    <t xml:space="preserve">Notes</t>
  </si>
  <si>
    <t xml:space="preserve">Traditional/diversified asset manager</t>
  </si>
  <si>
    <t xml:space="preserve">Alt mgr: Higher fees, lower fee-earning %</t>
  </si>
  <si>
    <t xml:space="preserve">Includes wealth mgmt/insurance revenue</t>
  </si>
  <si>
    <t xml:space="preserve">Goldman Sachs</t>
  </si>
  <si>
    <t xml:space="preserve">KEY BUSINESS PERFORMANCE METRICS EXPLAINED</t>
  </si>
  <si>
    <t xml:space="preserve">ROE (Return on Equity)</t>
  </si>
  <si>
    <t xml:space="preserve">Net Income / Shareholders' Equity - measures profitability relative to shareholder capital</t>
  </si>
  <si>
    <t xml:space="preserve">Revenue Yield (bps)</t>
  </si>
  <si>
    <t xml:space="preserve">(Revenue / AUM) x 10,000 - measures fee rate earned on assets</t>
  </si>
  <si>
    <t xml:space="preserve">% of total AUM that generates management fees (lower for alts with unfunded commitments)</t>
  </si>
  <si>
    <t xml:space="preserve">Operating Margin</t>
  </si>
  <si>
    <t xml:space="preserve">Operating Income / Revenue - measures operational efficiency</t>
  </si>
  <si>
    <t xml:space="preserve">Net Margin</t>
  </si>
  <si>
    <t xml:space="preserve">Net Income / Revenue - measures bottom-line profitability</t>
  </si>
  <si>
    <t xml:space="preserve">Ticker</t>
  </si>
  <si>
    <t xml:space="preserve">2019 Year-End Price</t>
  </si>
  <si>
    <t xml:space="preserve">2024 Year-End Price</t>
  </si>
  <si>
    <t xml:space="preserve">5Y TSR CAGR (%)</t>
  </si>
  <si>
    <t xml:space="preserve">2024 Dividend Yield (%)</t>
  </si>
  <si>
    <t xml:space="preserve">2024 Market Cap ($bn)</t>
  </si>
  <si>
    <t xml:space="preserve">Price Change CAGR</t>
  </si>
  <si>
    <t xml:space="preserve">BLK</t>
  </si>
  <si>
    <t xml:space="preserve">State Street</t>
  </si>
  <si>
    <t xml:space="preserve">STT</t>
  </si>
  <si>
    <t xml:space="preserve">TROW</t>
  </si>
  <si>
    <t xml:space="preserve">IVZ</t>
  </si>
  <si>
    <t xml:space="preserve">BEN</t>
  </si>
  <si>
    <t xml:space="preserve">SDR.L</t>
  </si>
  <si>
    <t xml:space="preserve">AB</t>
  </si>
  <si>
    <t xml:space="preserve">BX</t>
  </si>
  <si>
    <t xml:space="preserve">APO</t>
  </si>
  <si>
    <t xml:space="preserve">CG</t>
  </si>
  <si>
    <t xml:space="preserve">ARES</t>
  </si>
  <si>
    <t xml:space="preserve">AMUN.PA</t>
  </si>
  <si>
    <t xml:space="preserve">FHI</t>
  </si>
  <si>
    <t xml:space="preserve">AMP</t>
  </si>
  <si>
    <t xml:space="preserve">LAZ</t>
  </si>
  <si>
    <t xml:space="preserve">AMG</t>
  </si>
  <si>
    <t xml:space="preserve">APAM</t>
  </si>
  <si>
    <t xml:space="preserve">MS</t>
  </si>
  <si>
    <t xml:space="preserve">GS</t>
  </si>
  <si>
    <t xml:space="preserve">Prudential Financial</t>
  </si>
  <si>
    <t xml:space="preserve">PRU</t>
  </si>
  <si>
    <t xml:space="preserve">PFG</t>
  </si>
  <si>
    <t xml:space="preserve">VOYA</t>
  </si>
  <si>
    <t xml:space="preserve">MFC</t>
  </si>
  <si>
    <t xml:space="preserve">BN</t>
  </si>
  <si>
    <t xml:space="preserve">MQG.AX</t>
  </si>
  <si>
    <t xml:space="preserve">LGEN.L</t>
  </si>
  <si>
    <t xml:space="preserve">MNG.L</t>
  </si>
  <si>
    <t xml:space="preserve">Liontrust</t>
  </si>
  <si>
    <t xml:space="preserve">LIO.L</t>
  </si>
  <si>
    <t xml:space="preserve">NOTES ON SHAREHOLDER RETURNS</t>
  </si>
  <si>
    <t xml:space="preserve">TSR (Total Shareholder Return) = Price appreciation + Dividends reinvested</t>
  </si>
  <si>
    <t xml:space="preserve">Alternative asset managers (Blackstone, KKR, Apollo, Ares) significantly outperformed traditional managers</t>
  </si>
  <si>
    <t xml:space="preserve">High dividend yields at traditional managers (Franklin, Invesco, Liontrust) may reflect mature/declining businesses</t>
  </si>
  <si>
    <t xml:space="preserve">TSR figures are estimates based on year-end prices; may differ from official calculations</t>
  </si>
  <si>
    <t xml:space="preserve">UK-listed companies shown in GBP; some figures converted to USD where relevant</t>
  </si>
  <si>
    <t xml:space="preserve">GROWTH ANALYSIS &amp; RANKINGS - ALL 60 COMPANIES</t>
  </si>
  <si>
    <t xml:space="preserve">Category</t>
  </si>
  <si>
    <t xml:space="preserve">Top Performers (5Y AUM CAGR)</t>
  </si>
  <si>
    <t xml:space="preserve">Top Performers (5Y TSR CAGR)</t>
  </si>
  <si>
    <t xml:space="preserve">Growth Driver</t>
  </si>
  <si>
    <t xml:space="preserve">Alternative Managers</t>
  </si>
  <si>
    <t xml:space="preserve">Ares (~25%), KKR (~24%), Brookfield (~23%), Apollo (~19%)</t>
  </si>
  <si>
    <t xml:space="preserve">Ares (~50%), KKR (~46%), Apollo (~36%), Blackstone (~32%)</t>
  </si>
  <si>
    <t xml:space="preserve">Private credit, infrastructure, insurance</t>
  </si>
  <si>
    <t xml:space="preserve">Traditional Active</t>
  </si>
  <si>
    <t xml:space="preserve">T. Rowe Price (~6%), AB (~5%), Artisan (~7%)</t>
  </si>
  <si>
    <t xml:space="preserve">Artisan (~12%), AB (~8.5%)</t>
  </si>
  <si>
    <t xml:space="preserve">Target-date, retirement solutions</t>
  </si>
  <si>
    <t xml:space="preserve">Passive Giants</t>
  </si>
  <si>
    <t xml:space="preserve">Vanguard (~10%), BlackRock (~9%), SSGA (~9%)</t>
  </si>
  <si>
    <t xml:space="preserve">BlackRock (~18%)</t>
  </si>
  <si>
    <t xml:space="preserve">ETF inflows, 401k defaults</t>
  </si>
  <si>
    <t xml:space="preserve">Bank-Owned</t>
  </si>
  <si>
    <t xml:space="preserve">JPM AM (~10%), Goldman (~11%), UBS (~14%)</t>
  </si>
  <si>
    <t xml:space="preserve">Goldman (~26%), Morgan Stanley (~28%)</t>
  </si>
  <si>
    <t xml:space="preserve">Cross-selling, wealth mgmt integration</t>
  </si>
  <si>
    <t xml:space="preserve">Insurance-Owned</t>
  </si>
  <si>
    <t xml:space="preserve">Manulife (~9%), Ameriprise (~9%), PGIM (~1%)</t>
  </si>
  <si>
    <t xml:space="preserve">Ameriprise (~32%), Manulife (~15%)</t>
  </si>
  <si>
    <t xml:space="preserve">Retirement products, annuities</t>
  </si>
  <si>
    <t xml:space="preserve">UK/European</t>
  </si>
  <si>
    <t xml:space="preserve">Amundi (~6%), Schroders (~10%)</t>
  </si>
  <si>
    <t xml:space="preserve">Schroders (~4.5%), Amundi (~3.5%)</t>
  </si>
  <si>
    <t xml:space="preserve">Organic growth, consolidation</t>
  </si>
  <si>
    <t xml:space="preserve">Wealth Platforms</t>
  </si>
  <si>
    <t xml:space="preserve">AssetMark (~16%)</t>
  </si>
  <si>
    <t xml:space="preserve">N/A (private)</t>
  </si>
  <si>
    <t xml:space="preserve">Advisor adoption, TAMP growth</t>
  </si>
  <si>
    <t xml:space="preserve">PERFORMANCE SUMMARY BY SEGMENT (5-YEAR AVERAGES)</t>
  </si>
  <si>
    <t xml:space="preserve">Segment</t>
  </si>
  <si>
    <t xml:space="preserve">AUM CAGR Range</t>
  </si>
  <si>
    <t xml:space="preserve">Revenue CAGR Range</t>
  </si>
  <si>
    <t xml:space="preserve">Avg Op Margin Range</t>
  </si>
  <si>
    <t xml:space="preserve">Avg ROE Range</t>
  </si>
  <si>
    <t xml:space="preserve">TSR CAGR Range</t>
  </si>
  <si>
    <t xml:space="preserve">Alternative Asset Managers</t>
  </si>
  <si>
    <t xml:space="preserve">17-25%</t>
  </si>
  <si>
    <t xml:space="preserve">15-40%</t>
  </si>
  <si>
    <t xml:space="preserve">25-45%</t>
  </si>
  <si>
    <t xml:space="preserve">15-28%</t>
  </si>
  <si>
    <t xml:space="preserve">30-50%</t>
  </si>
  <si>
    <t xml:space="preserve">Traditional Active Managers</t>
  </si>
  <si>
    <t xml:space="preserve">5-8%</t>
  </si>
  <si>
    <t xml:space="preserve">3-8%</t>
  </si>
  <si>
    <t xml:space="preserve">28-40%</t>
  </si>
  <si>
    <t xml:space="preserve">15-25%</t>
  </si>
  <si>
    <t xml:space="preserve">2-12%</t>
  </si>
  <si>
    <t xml:space="preserve">Passive/Index Managers</t>
  </si>
  <si>
    <t xml:space="preserve">9-10%</t>
  </si>
  <si>
    <t xml:space="preserve">6-10%</t>
  </si>
  <si>
    <t xml:space="preserve">35-42%</t>
  </si>
  <si>
    <t xml:space="preserve">10-15%</t>
  </si>
  <si>
    <t xml:space="preserve">5-18%</t>
  </si>
  <si>
    <t xml:space="preserve">Bank-Owned AM Divisions</t>
  </si>
  <si>
    <t xml:space="preserve">8-14%</t>
  </si>
  <si>
    <t xml:space="preserve">5-12%</t>
  </si>
  <si>
    <t xml:space="preserve">20-35%</t>
  </si>
  <si>
    <t xml:space="preserve">5-28%</t>
  </si>
  <si>
    <t xml:space="preserve">Insurance-Owned Managers</t>
  </si>
  <si>
    <t xml:space="preserve">1-9%</t>
  </si>
  <si>
    <t xml:space="preserve">2-8%</t>
  </si>
  <si>
    <t xml:space="preserve">12-20%</t>
  </si>
  <si>
    <t xml:space="preserve">8-20%</t>
  </si>
  <si>
    <t xml:space="preserve">5-32%</t>
  </si>
  <si>
    <t xml:space="preserve">UK/European Specialists</t>
  </si>
  <si>
    <t xml:space="preserve">-15% to 10%</t>
  </si>
  <si>
    <t xml:space="preserve">-5% to 8%</t>
  </si>
  <si>
    <t xml:space="preserve">15-35%</t>
  </si>
  <si>
    <t xml:space="preserve">12-25%</t>
  </si>
  <si>
    <t xml:space="preserve">-25% to 5%</t>
  </si>
  <si>
    <t xml:space="preserve">Wealth Platforms/TAMPs</t>
  </si>
  <si>
    <t xml:space="preserve">15-20%</t>
  </si>
  <si>
    <t xml:space="preserve">12-18%</t>
  </si>
  <si>
    <t xml:space="preserve">30-40%</t>
  </si>
  <si>
    <t xml:space="preserve">N/A</t>
  </si>
  <si>
    <t xml:space="preserve">KEY INDUSTRY OBSERVATIONS 2019-2024</t>
  </si>
  <si>
    <t xml:space="preserve">1. Alternative managers delivered 3-5x better shareholder returns than traditional managers</t>
  </si>
  <si>
    <t xml:space="preserve">2. Operating margins compressed 3-5% at traditional active managers due to fee pressure</t>
  </si>
  <si>
    <t xml:space="preserve">3. Alternative managers maintained/expanded margins (carried interest + management fees)</t>
  </si>
  <si>
    <t xml:space="preserve">4. Revenue yield diverged significantly: ~15-50bps traditional vs ~90-340bps alternatives</t>
  </si>
  <si>
    <t xml:space="preserve">5. UK asset managers faced severe headwinds (Liontrust -25% TSR CAGR)</t>
  </si>
  <si>
    <t xml:space="preserve">6. Insurance-owned managers show mixed results - depends on retirement product mix</t>
  </si>
  <si>
    <t xml:space="preserve">7. Bank-owned managers benefited from wealth management cross-sell</t>
  </si>
  <si>
    <t xml:space="preserve">8. Private credit was the fastest-growing asset class within alternatives</t>
  </si>
  <si>
    <t xml:space="preserve">9. Market is rewarding AUM growth + margin expansion, penalizing AUM with margin pressure</t>
  </si>
  <si>
    <t xml:space="preserve">10. Consolidation accelerating: Waddell &amp; Reed acquired (2021), Macquarie selling US/EU units (2025)</t>
  </si>
  <si>
    <t xml:space="preserve">DATA SOURCES &amp; METHODOLOGY</t>
  </si>
  <si>
    <t xml:space="preserve">Source</t>
  </si>
  <si>
    <t xml:space="preserve">Data Provided</t>
  </si>
  <si>
    <t xml:space="preserve">URL/Reference</t>
  </si>
  <si>
    <t xml:space="preserve">WTW Thinking Ahead Institute</t>
  </si>
  <si>
    <t xml:space="preserve">Global 500 rankings, AUM data 2019-2024</t>
  </si>
  <si>
    <t xml:space="preserve">thinkingaheadinstitute.org</t>
  </si>
  <si>
    <t xml:space="preserve">IPE Top 500 Asset Managers</t>
  </si>
  <si>
    <t xml:space="preserve">European AUM, institutional assets</t>
  </si>
  <si>
    <t xml:space="preserve">ipe.com/reports/top-500-asset-managers</t>
  </si>
  <si>
    <t xml:space="preserve">Company Annual Reports/10-Ks</t>
  </si>
  <si>
    <t xml:space="preserve">Revenue, operating income, ROE, detailed AUM</t>
  </si>
  <si>
    <t xml:space="preserve">SEC EDGAR, company IR sites</t>
  </si>
  <si>
    <t xml:space="preserve">Yahoo Finance / Bloomberg</t>
  </si>
  <si>
    <t xml:space="preserve">Stock prices, market cap, dividend yields</t>
  </si>
  <si>
    <t xml:space="preserve">finance.yahoo.com</t>
  </si>
  <si>
    <t xml:space="preserve">MacroTrends</t>
  </si>
  <si>
    <t xml:space="preserve">Historical financials, ratios</t>
  </si>
  <si>
    <t xml:space="preserve">macrotrends.net</t>
  </si>
  <si>
    <t xml:space="preserve">Company Investor Presentations</t>
  </si>
  <si>
    <t xml:space="preserve">Fee rates, AUM mix, segment data</t>
  </si>
  <si>
    <t xml:space="preserve">Company IR websites</t>
  </si>
  <si>
    <t xml:space="preserve">Pensions &amp; Investments</t>
  </si>
  <si>
    <t xml:space="preserve">Industry rankings, AUM data</t>
  </si>
  <si>
    <t xml:space="preserve">pionline.com</t>
  </si>
  <si>
    <t xml:space="preserve">COMPANIES NOT PRIMARILY ASSET MANAGERS</t>
  </si>
  <si>
    <t xml:space="preserve">Note</t>
  </si>
  <si>
    <t xml:space="preserve">Specialty insurance company - no third-party asset management</t>
  </si>
  <si>
    <t xml:space="preserve">Oil &amp; gas company - not an asset manager</t>
  </si>
  <si>
    <t xml:space="preserve">Footwear company - not an asset manager</t>
  </si>
  <si>
    <t xml:space="preserve">Australian bank - very limited AM operations (~$45bn)</t>
  </si>
  <si>
    <t xml:space="preserve">Acquired by Macquarie in 2021 - no longer operates independently</t>
  </si>
  <si>
    <t xml:space="preserve">Private equity firm - limited public data</t>
  </si>
  <si>
    <t xml:space="preserve">Advisory/consulting - limited proprietary AUM</t>
  </si>
  <si>
    <t xml:space="preserve">METHODOLOGY NOTES</t>
  </si>
  <si>
    <t xml:space="preserve">• AUM figures are end-of-year values in USD billions (non-USD converted at year-end rates)</t>
  </si>
  <si>
    <t xml:space="preserve">• Revenue yield calculated as (Revenue / Average AUM) in basis points</t>
  </si>
  <si>
    <t xml:space="preserve">• ROE = Net Income / Average Shareholders' Equity</t>
  </si>
  <si>
    <t xml:space="preserve">• TSR estimates based on year-end stock prices plus dividends; may vary from official calculations</t>
  </si>
  <si>
    <t xml:space="preserve">• Alternative manager metrics differ due to carry, performance fees, and balance sheet gains</t>
  </si>
  <si>
    <t xml:space="preserve">• 5Y Average Operating Margin = Average of annual margins (OpInc/Rev) for 2019-2024</t>
  </si>
  <si>
    <t xml:space="preserve">• For diversified companies (banks, insurers), AM segment data isolated where possible</t>
  </si>
  <si>
    <t xml:space="preserve">• Data quality varies: public filers have 'High' quality; private firms use industry estimates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</si>
</sst>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11" min="3" style="0" width="1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2" t="n">
        <v>7430</v>
      </c>
      <c r="D2" s="2" t="n">
        <v>8677</v>
      </c>
      <c r="E2" s="2" t="n">
        <v>10010</v>
      </c>
      <c r="F2" s="2" t="n">
        <v>8594</v>
      </c>
      <c r="G2" s="2" t="n">
        <v>10008</v>
      </c>
      <c r="H2" s="2" t="n">
        <v>11553</v>
      </c>
      <c r="I2" s="3" t="n">
        <f aca="false">IF(AND(C2&gt;0,H2&gt;0),(H2/C2)^(1/5)-1,"-")</f>
        <v>0.0922981344480947</v>
      </c>
      <c r="J2" s="4" t="n">
        <f aca="false">IF(AND(C2&gt;0,H2&gt;0),H2-C2,"-")</f>
        <v>4123</v>
      </c>
      <c r="K2" s="5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2" t="n">
        <v>6200</v>
      </c>
      <c r="D3" s="2" t="n">
        <v>7148</v>
      </c>
      <c r="E3" s="2" t="n">
        <v>8630</v>
      </c>
      <c r="F3" s="2" t="n">
        <v>7252</v>
      </c>
      <c r="G3" s="2" t="n">
        <v>8600</v>
      </c>
      <c r="H3" s="2" t="n">
        <v>10100</v>
      </c>
      <c r="I3" s="3" t="n">
        <f aca="false">IF(AND(C3&gt;0,H3&gt;0),(H3/C3)^(1/5)-1,"-")</f>
        <v>0.102518630224864</v>
      </c>
      <c r="J3" s="4" t="n">
        <f aca="false">IF(AND(C3&gt;0,H3&gt;0),H3-C3,"-")</f>
        <v>3900</v>
      </c>
      <c r="K3" s="5" t="s">
        <v>13</v>
      </c>
    </row>
    <row r="4" customFormat="false" ht="15" hidden="false" customHeight="false" outlineLevel="0" collapsed="false">
      <c r="A4" s="0" t="s">
        <v>16</v>
      </c>
      <c r="B4" s="0" t="s">
        <v>17</v>
      </c>
      <c r="C4" s="2" t="n">
        <v>3200</v>
      </c>
      <c r="D4" s="2" t="n">
        <v>3800</v>
      </c>
      <c r="E4" s="2" t="n">
        <v>4500</v>
      </c>
      <c r="F4" s="2" t="n">
        <v>3900</v>
      </c>
      <c r="G4" s="2" t="n">
        <v>4900</v>
      </c>
      <c r="H4" s="2" t="n">
        <v>5900</v>
      </c>
      <c r="I4" s="3" t="n">
        <f aca="false">IF(AND(C4&gt;0,H4&gt;0),(H4/C4)^(1/5)-1,"-")</f>
        <v>0.130161234813408</v>
      </c>
      <c r="J4" s="4" t="n">
        <f aca="false">IF(AND(C4&gt;0,H4&gt;0),H4-C4,"-")</f>
        <v>2700</v>
      </c>
      <c r="K4" s="5" t="s">
        <v>18</v>
      </c>
    </row>
    <row r="5" customFormat="false" ht="15" hidden="false" customHeight="false" outlineLevel="0" collapsed="false">
      <c r="A5" s="0" t="s">
        <v>19</v>
      </c>
      <c r="B5" s="0" t="s">
        <v>17</v>
      </c>
      <c r="C5" s="2" t="n">
        <v>2000</v>
      </c>
      <c r="D5" s="2" t="n">
        <v>2300</v>
      </c>
      <c r="E5" s="2" t="n">
        <v>2800</v>
      </c>
      <c r="F5" s="2" t="n">
        <v>2200</v>
      </c>
      <c r="G5" s="2" t="n">
        <v>2600</v>
      </c>
      <c r="H5" s="2" t="n">
        <v>2800</v>
      </c>
      <c r="I5" s="3" t="n">
        <f aca="false">IF(AND(C5&gt;0,H5&gt;0),(H5/C5)^(1/5)-1,"-")</f>
        <v>0.0696103757250688</v>
      </c>
      <c r="J5" s="4" t="n">
        <f aca="false">IF(AND(C5&gt;0,H5&gt;0),H5-C5,"-")</f>
        <v>800</v>
      </c>
      <c r="K5" s="5" t="s">
        <v>18</v>
      </c>
    </row>
    <row r="6" customFormat="false" ht="15" hidden="false" customHeight="false" outlineLevel="0" collapsed="false">
      <c r="A6" s="0" t="s">
        <v>20</v>
      </c>
      <c r="B6" s="0" t="s">
        <v>12</v>
      </c>
      <c r="C6" s="2" t="n">
        <v>1206</v>
      </c>
      <c r="D6" s="2" t="n">
        <v>1470</v>
      </c>
      <c r="E6" s="2" t="n">
        <v>1687</v>
      </c>
      <c r="F6" s="2" t="n">
        <v>1270</v>
      </c>
      <c r="G6" s="2" t="n">
        <v>1440</v>
      </c>
      <c r="H6" s="2" t="n">
        <v>1607</v>
      </c>
      <c r="I6" s="3" t="n">
        <f aca="false">IF(AND(C6&gt;0,H6&gt;0),(H6/C6)^(1/5)-1,"-")</f>
        <v>0.0590920640055379</v>
      </c>
      <c r="J6" s="4" t="n">
        <f aca="false">IF(AND(C6&gt;0,H6&gt;0),H6-C6,"-")</f>
        <v>401</v>
      </c>
      <c r="K6" s="5" t="s">
        <v>13</v>
      </c>
    </row>
    <row r="7" customFormat="false" ht="15" hidden="false" customHeight="false" outlineLevel="0" collapsed="false">
      <c r="A7" s="0" t="s">
        <v>21</v>
      </c>
      <c r="B7" s="0" t="s">
        <v>12</v>
      </c>
      <c r="C7" s="2" t="n">
        <v>698</v>
      </c>
      <c r="D7" s="2" t="n">
        <v>1497</v>
      </c>
      <c r="E7" s="2" t="n">
        <v>1578</v>
      </c>
      <c r="F7" s="2" t="n">
        <v>1386</v>
      </c>
      <c r="G7" s="2" t="n">
        <v>1570</v>
      </c>
      <c r="H7" s="2" t="n">
        <v>1650</v>
      </c>
      <c r="I7" s="3" t="n">
        <f aca="false">IF(AND(C7&gt;0,H7&gt;0),(H7/C7)^(1/5)-1,"-")</f>
        <v>0.187751819327428</v>
      </c>
      <c r="J7" s="4" t="n">
        <f aca="false">IF(AND(C7&gt;0,H7&gt;0),H7-C7,"-")</f>
        <v>952</v>
      </c>
      <c r="K7" s="5" t="s">
        <v>13</v>
      </c>
    </row>
    <row r="8" customFormat="false" ht="15" hidden="false" customHeight="false" outlineLevel="0" collapsed="false">
      <c r="A8" s="0" t="s">
        <v>22</v>
      </c>
      <c r="B8" s="0" t="s">
        <v>12</v>
      </c>
      <c r="C8" s="2" t="n">
        <v>1226</v>
      </c>
      <c r="D8" s="2" t="n">
        <v>1350</v>
      </c>
      <c r="E8" s="2" t="n">
        <v>1610</v>
      </c>
      <c r="F8" s="2" t="n">
        <v>1410</v>
      </c>
      <c r="G8" s="2" t="n">
        <v>1590</v>
      </c>
      <c r="H8" s="2" t="n">
        <v>1800</v>
      </c>
      <c r="I8" s="3" t="n">
        <f aca="false">IF(AND(C8&gt;0,H8&gt;0),(H8/C8)^(1/5)-1,"-")</f>
        <v>0.079832531274308</v>
      </c>
      <c r="J8" s="4" t="n">
        <f aca="false">IF(AND(C8&gt;0,H8&gt;0),H8-C8,"-")</f>
        <v>574</v>
      </c>
      <c r="K8" s="5" t="s">
        <v>13</v>
      </c>
    </row>
    <row r="9" customFormat="false" ht="15" hidden="false" customHeight="false" outlineLevel="0" collapsed="false">
      <c r="A9" s="0" t="s">
        <v>23</v>
      </c>
      <c r="B9" s="0" t="s">
        <v>12</v>
      </c>
      <c r="C9" s="2" t="n">
        <v>623</v>
      </c>
      <c r="D9" s="2" t="n">
        <v>686</v>
      </c>
      <c r="E9" s="2" t="n">
        <v>779</v>
      </c>
      <c r="F9" s="2" t="n">
        <v>646</v>
      </c>
      <c r="G9" s="2" t="n">
        <v>725</v>
      </c>
      <c r="H9" s="2" t="n">
        <v>800</v>
      </c>
      <c r="I9" s="3" t="n">
        <f aca="false">IF(AND(C9&gt;0,H9&gt;0),(H9/C9)^(1/5)-1,"-")</f>
        <v>0.0512848069076826</v>
      </c>
      <c r="J9" s="4" t="n">
        <f aca="false">IF(AND(C9&gt;0,H9&gt;0),H9-C9,"-")</f>
        <v>177</v>
      </c>
      <c r="K9" s="5" t="s">
        <v>13</v>
      </c>
    </row>
    <row r="10" customFormat="false" ht="15" hidden="false" customHeight="false" outlineLevel="0" collapsed="false">
      <c r="A10" s="0" t="s">
        <v>24</v>
      </c>
      <c r="B10" s="0" t="s">
        <v>12</v>
      </c>
      <c r="C10" s="2" t="n">
        <v>595</v>
      </c>
      <c r="D10" s="2" t="n">
        <v>630</v>
      </c>
      <c r="E10" s="2" t="n">
        <v>728</v>
      </c>
      <c r="F10" s="2" t="n">
        <v>580</v>
      </c>
      <c r="G10" s="2" t="n">
        <v>710</v>
      </c>
      <c r="H10" s="2" t="n">
        <v>800</v>
      </c>
      <c r="I10" s="3" t="n">
        <f aca="false">IF(AND(C10&gt;0,H10&gt;0),(H10/C10)^(1/5)-1,"-")</f>
        <v>0.0609980952866724</v>
      </c>
      <c r="J10" s="4" t="n">
        <f aca="false">IF(AND(C10&gt;0,H10&gt;0),H10-C10,"-")</f>
        <v>205</v>
      </c>
      <c r="K10" s="5" t="s">
        <v>18</v>
      </c>
    </row>
    <row r="11" customFormat="false" ht="15" hidden="false" customHeight="false" outlineLevel="0" collapsed="false">
      <c r="A11" s="0" t="s">
        <v>25</v>
      </c>
      <c r="B11" s="0" t="s">
        <v>12</v>
      </c>
      <c r="C11" s="2" t="n">
        <v>606</v>
      </c>
      <c r="D11" s="2" t="n">
        <v>639</v>
      </c>
      <c r="E11" s="2" t="n">
        <v>669</v>
      </c>
      <c r="F11" s="2" t="n">
        <v>609</v>
      </c>
      <c r="G11" s="2" t="n">
        <v>730</v>
      </c>
      <c r="H11" s="2" t="n">
        <v>800</v>
      </c>
      <c r="I11" s="3" t="n">
        <f aca="false">IF(AND(C11&gt;0,H11&gt;0),(H11/C11)^(1/5)-1,"-")</f>
        <v>0.0571180115805927</v>
      </c>
      <c r="J11" s="4" t="n">
        <f aca="false">IF(AND(C11&gt;0,H11&gt;0),H11-C11,"-")</f>
        <v>194</v>
      </c>
      <c r="K11" s="5" t="s">
        <v>13</v>
      </c>
    </row>
    <row r="12" customFormat="false" ht="15" hidden="false" customHeight="false" outlineLevel="0" collapsed="false">
      <c r="A12" s="0" t="s">
        <v>26</v>
      </c>
      <c r="B12" s="0" t="s">
        <v>17</v>
      </c>
      <c r="C12" s="2" t="n">
        <v>1100</v>
      </c>
      <c r="D12" s="2" t="n">
        <v>1300</v>
      </c>
      <c r="E12" s="2" t="n">
        <v>1500</v>
      </c>
      <c r="F12" s="2" t="n">
        <v>1200</v>
      </c>
      <c r="G12" s="2" t="n">
        <v>1400</v>
      </c>
      <c r="H12" s="2" t="n">
        <v>1550</v>
      </c>
      <c r="I12" s="3" t="n">
        <f aca="false">IF(AND(C12&gt;0,H12&gt;0),(H12/C12)^(1/5)-1,"-")</f>
        <v>0.0709958860395983</v>
      </c>
      <c r="J12" s="4" t="n">
        <f aca="false">IF(AND(C12&gt;0,H12&gt;0),H12-C12,"-")</f>
        <v>450</v>
      </c>
      <c r="K12" s="5" t="s">
        <v>18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2" t="n">
        <v>1910</v>
      </c>
      <c r="D13" s="2" t="n">
        <v>2120</v>
      </c>
      <c r="E13" s="2" t="n">
        <v>2200</v>
      </c>
      <c r="F13" s="2" t="n">
        <v>1740</v>
      </c>
      <c r="G13" s="2" t="n">
        <v>1900</v>
      </c>
      <c r="H13" s="2" t="n">
        <v>2000</v>
      </c>
      <c r="I13" s="3" t="n">
        <f aca="false">IF(AND(C13&gt;0,H13&gt;0),(H13/C13)^(1/5)-1,"-")</f>
        <v>0.00925131903951182</v>
      </c>
      <c r="J13" s="4" t="n">
        <f aca="false">IF(AND(C13&gt;0,H13&gt;0),H13-C13,"-")</f>
        <v>90</v>
      </c>
      <c r="K13" s="5" t="s">
        <v>18</v>
      </c>
    </row>
    <row r="14" customFormat="false" ht="15" hidden="false" customHeight="false" outlineLevel="0" collapsed="false">
      <c r="A14" s="0" t="s">
        <v>29</v>
      </c>
      <c r="B14" s="0" t="s">
        <v>17</v>
      </c>
      <c r="C14" s="2" t="n">
        <v>350</v>
      </c>
      <c r="D14" s="2" t="n">
        <v>400</v>
      </c>
      <c r="E14" s="2" t="n">
        <v>480</v>
      </c>
      <c r="F14" s="2" t="n">
        <v>400</v>
      </c>
      <c r="G14" s="2" t="n">
        <v>450</v>
      </c>
      <c r="H14" s="2" t="n">
        <v>490</v>
      </c>
      <c r="I14" s="3" t="n">
        <f aca="false">IF(AND(C14&gt;0,H14&gt;0),(H14/C14)^(1/5)-1,"-")</f>
        <v>0.0696103757250688</v>
      </c>
      <c r="J14" s="4" t="n">
        <f aca="false">IF(AND(C14&gt;0,H14&gt;0),H14-C14,"-")</f>
        <v>140</v>
      </c>
      <c r="K14" s="5" t="s">
        <v>18</v>
      </c>
    </row>
    <row r="15" customFormat="false" ht="15" hidden="false" customHeight="false" outlineLevel="0" collapsed="false">
      <c r="A15" s="0" t="s">
        <v>30</v>
      </c>
      <c r="B15" s="0" t="s">
        <v>12</v>
      </c>
      <c r="C15" s="2" t="n">
        <v>595</v>
      </c>
      <c r="D15" s="2" t="n">
        <v>660</v>
      </c>
      <c r="E15" s="2" t="n">
        <v>907</v>
      </c>
      <c r="F15" s="2" t="n">
        <v>750</v>
      </c>
      <c r="G15" s="2" t="n">
        <v>920</v>
      </c>
      <c r="H15" s="2" t="n">
        <v>980</v>
      </c>
      <c r="I15" s="3" t="n">
        <f aca="false">IF(AND(C15&gt;0,H15&gt;0),(H15/C15)^(1/5)-1,"-")</f>
        <v>0.104947953796503</v>
      </c>
      <c r="J15" s="4" t="n">
        <f aca="false">IF(AND(C15&gt;0,H15&gt;0),H15-C15,"-")</f>
        <v>385</v>
      </c>
      <c r="K15" s="5" t="s">
        <v>13</v>
      </c>
    </row>
    <row r="16" customFormat="false" ht="15" hidden="false" customHeight="false" outlineLevel="0" collapsed="false">
      <c r="A16" s="0" t="s">
        <v>31</v>
      </c>
      <c r="B16" s="0" t="s">
        <v>12</v>
      </c>
      <c r="C16" s="2" t="n">
        <v>234</v>
      </c>
      <c r="D16" s="2" t="n">
        <v>247</v>
      </c>
      <c r="E16" s="2" t="n">
        <v>271</v>
      </c>
      <c r="F16" s="2" t="n">
        <v>229</v>
      </c>
      <c r="G16" s="2" t="n">
        <v>247</v>
      </c>
      <c r="H16" s="2" t="n">
        <v>226</v>
      </c>
      <c r="I16" s="3" t="n">
        <f aca="false">IF(AND(C16&gt;0,H16&gt;0),(H16/C16)^(1/5)-1,"-")</f>
        <v>-0.006933077767181</v>
      </c>
      <c r="J16" s="4" t="n">
        <f aca="false">IF(AND(C16&gt;0,H16&gt;0),H16-C16,"-")</f>
        <v>-8</v>
      </c>
      <c r="K16" s="5" t="s">
        <v>13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2" t="n">
        <v>660</v>
      </c>
      <c r="D17" s="2" t="n">
        <v>668</v>
      </c>
      <c r="E17" s="2" t="n">
        <v>748</v>
      </c>
      <c r="F17" s="2" t="n">
        <v>600</v>
      </c>
      <c r="G17" s="2" t="n">
        <v>675</v>
      </c>
      <c r="H17" s="2" t="n">
        <v>700</v>
      </c>
      <c r="I17" s="3" t="n">
        <f aca="false">IF(AND(C17&gt;0,H17&gt;0),(H17/C17)^(1/5)-1,"-")</f>
        <v>0.0118376165182417</v>
      </c>
      <c r="J17" s="4" t="n">
        <f aca="false">IF(AND(C17&gt;0,H17&gt;0),H17-C17,"-")</f>
        <v>40</v>
      </c>
      <c r="K17" s="5" t="s">
        <v>13</v>
      </c>
    </row>
    <row r="18" customFormat="false" ht="15" hidden="false" customHeight="false" outlineLevel="0" collapsed="false">
      <c r="A18" s="0" t="s">
        <v>34</v>
      </c>
      <c r="B18" s="0" t="s">
        <v>12</v>
      </c>
      <c r="C18" s="2" t="n">
        <v>117</v>
      </c>
      <c r="D18" s="2" t="n">
        <v>139</v>
      </c>
      <c r="E18" s="2" t="n">
        <v>173</v>
      </c>
      <c r="F18" s="2" t="n">
        <v>131</v>
      </c>
      <c r="G18" s="2" t="n">
        <v>151</v>
      </c>
      <c r="H18" s="2" t="n">
        <v>161</v>
      </c>
      <c r="I18" s="3" t="n">
        <f aca="false">IF(AND(C18&gt;0,H18&gt;0),(H18/C18)^(1/5)-1,"-")</f>
        <v>0.065928324882806</v>
      </c>
      <c r="J18" s="4" t="n">
        <f aca="false">IF(AND(C18&gt;0,H18&gt;0),H18-C18,"-")</f>
        <v>44</v>
      </c>
      <c r="K18" s="5" t="s">
        <v>13</v>
      </c>
    </row>
    <row r="19" customFormat="false" ht="15" hidden="false" customHeight="false" outlineLevel="0" collapsed="false">
      <c r="A19" s="0" t="s">
        <v>35</v>
      </c>
      <c r="B19" s="0" t="s">
        <v>12</v>
      </c>
      <c r="C19" s="2" t="n">
        <v>17</v>
      </c>
      <c r="D19" s="2" t="n">
        <v>25</v>
      </c>
      <c r="E19" s="2" t="n">
        <v>37</v>
      </c>
      <c r="F19" s="2" t="n">
        <v>29</v>
      </c>
      <c r="G19" s="2" t="n">
        <v>27</v>
      </c>
      <c r="H19" s="2" t="n">
        <v>22</v>
      </c>
      <c r="I19" s="3" t="n">
        <f aca="false">IF(AND(C19&gt;0,H19&gt;0),(H19/C19)^(1/5)-1,"-")</f>
        <v>0.0529184890651104</v>
      </c>
      <c r="J19" s="4" t="n">
        <f aca="false">IF(AND(C19&gt;0,H19&gt;0),H19-C19,"-")</f>
        <v>5</v>
      </c>
      <c r="K19" s="5" t="s">
        <v>13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2" t="n">
        <v>3120</v>
      </c>
      <c r="D20" s="2" t="n">
        <v>3470</v>
      </c>
      <c r="E20" s="2" t="n">
        <v>4140</v>
      </c>
      <c r="F20" s="2" t="n">
        <v>3480</v>
      </c>
      <c r="G20" s="2" t="n">
        <v>4130</v>
      </c>
      <c r="H20" s="2" t="n">
        <v>4700</v>
      </c>
      <c r="I20" s="3" t="n">
        <f aca="false">IF(AND(C20&gt;0,H20&gt;0),(H20/C20)^(1/5)-1,"-")</f>
        <v>0.0853970897553507</v>
      </c>
      <c r="J20" s="4" t="n">
        <f aca="false">IF(AND(C20&gt;0,H20&gt;0),H20-C20,"-")</f>
        <v>1580</v>
      </c>
      <c r="K20" s="5" t="s">
        <v>13</v>
      </c>
    </row>
    <row r="21" customFormat="false" ht="15" hidden="false" customHeight="false" outlineLevel="0" collapsed="false">
      <c r="A21" s="0" t="s">
        <v>38</v>
      </c>
      <c r="B21" s="0" t="s">
        <v>37</v>
      </c>
      <c r="C21" s="2" t="n">
        <v>2010</v>
      </c>
      <c r="D21" s="2" t="n">
        <v>2280</v>
      </c>
      <c r="E21" s="2" t="n">
        <v>2690</v>
      </c>
      <c r="F21" s="2" t="n">
        <v>2390</v>
      </c>
      <c r="G21" s="2" t="n">
        <v>2850</v>
      </c>
      <c r="H21" s="2" t="n">
        <v>3300</v>
      </c>
      <c r="I21" s="3" t="n">
        <f aca="false">IF(AND(C21&gt;0,H21&gt;0),(H21/C21)^(1/5)-1,"-")</f>
        <v>0.104240258112932</v>
      </c>
      <c r="J21" s="4" t="n">
        <f aca="false">IF(AND(C21&gt;0,H21&gt;0),H21-C21,"-")</f>
        <v>1290</v>
      </c>
      <c r="K21" s="5" t="s">
        <v>13</v>
      </c>
    </row>
    <row r="22" customFormat="false" ht="15" hidden="false" customHeight="false" outlineLevel="0" collapsed="false">
      <c r="A22" s="0" t="s">
        <v>39</v>
      </c>
      <c r="B22" s="0" t="s">
        <v>37</v>
      </c>
      <c r="C22" s="2" t="n">
        <v>1860</v>
      </c>
      <c r="D22" s="2" t="n">
        <v>2060</v>
      </c>
      <c r="E22" s="2" t="n">
        <v>2470</v>
      </c>
      <c r="F22" s="2" t="n">
        <v>2300</v>
      </c>
      <c r="G22" s="2" t="n">
        <v>2810</v>
      </c>
      <c r="H22" s="2" t="n">
        <v>3100</v>
      </c>
      <c r="I22" s="3" t="n">
        <f aca="false">IF(AND(C22&gt;0,H22&gt;0),(H22/C22)^(1/5)-1,"-")</f>
        <v>0.10756634324829</v>
      </c>
      <c r="J22" s="4" t="n">
        <f aca="false">IF(AND(C22&gt;0,H22&gt;0),H22-C22,"-")</f>
        <v>1240</v>
      </c>
      <c r="K22" s="5" t="s">
        <v>13</v>
      </c>
    </row>
    <row r="23" customFormat="false" ht="15" hidden="false" customHeight="false" outlineLevel="0" collapsed="false">
      <c r="A23" s="0" t="s">
        <v>40</v>
      </c>
      <c r="B23" s="0" t="s">
        <v>37</v>
      </c>
      <c r="C23" s="2" t="n">
        <v>555</v>
      </c>
      <c r="D23" s="2" t="n">
        <v>662</v>
      </c>
      <c r="E23" s="2" t="n">
        <v>792</v>
      </c>
      <c r="F23" s="2" t="n">
        <v>677</v>
      </c>
      <c r="G23" s="2" t="n">
        <v>740</v>
      </c>
      <c r="H23" s="2" t="n">
        <v>850</v>
      </c>
      <c r="I23" s="3" t="n">
        <f aca="false">IF(AND(C23&gt;0,H23&gt;0),(H23/C23)^(1/5)-1,"-")</f>
        <v>0.088993251702183</v>
      </c>
      <c r="J23" s="4" t="n">
        <f aca="false">IF(AND(C23&gt;0,H23&gt;0),H23-C23,"-")</f>
        <v>295</v>
      </c>
      <c r="K23" s="5" t="s">
        <v>13</v>
      </c>
    </row>
    <row r="24" customFormat="false" ht="15" hidden="false" customHeight="false" outlineLevel="0" collapsed="false">
      <c r="A24" s="0" t="s">
        <v>41</v>
      </c>
      <c r="B24" s="0" t="s">
        <v>37</v>
      </c>
      <c r="C24" s="2" t="n">
        <v>2770</v>
      </c>
      <c r="D24" s="2" t="n">
        <v>3110</v>
      </c>
      <c r="E24" s="2" t="n">
        <v>4030</v>
      </c>
      <c r="F24" s="2" t="n">
        <v>3540</v>
      </c>
      <c r="G24" s="2" t="n">
        <v>4700</v>
      </c>
      <c r="H24" s="2" t="n">
        <v>5300</v>
      </c>
      <c r="I24" s="3" t="n">
        <f aca="false">IF(AND(C24&gt;0,H24&gt;0),(H24/C24)^(1/5)-1,"-")</f>
        <v>0.138568646276242</v>
      </c>
      <c r="J24" s="4" t="n">
        <f aca="false">IF(AND(C24&gt;0,H24&gt;0),H24-C24,"-")</f>
        <v>2530</v>
      </c>
      <c r="K24" s="5" t="s">
        <v>13</v>
      </c>
    </row>
    <row r="25" customFormat="false" ht="15" hidden="false" customHeight="false" outlineLevel="0" collapsed="false">
      <c r="A25" s="0" t="s">
        <v>42</v>
      </c>
      <c r="B25" s="0" t="s">
        <v>37</v>
      </c>
      <c r="C25" s="2" t="n">
        <v>1900</v>
      </c>
      <c r="D25" s="2" t="n">
        <v>2120</v>
      </c>
      <c r="E25" s="2" t="n">
        <v>2380</v>
      </c>
      <c r="F25" s="2" t="n">
        <v>2030</v>
      </c>
      <c r="G25" s="2" t="n">
        <v>2250</v>
      </c>
      <c r="H25" s="2" t="n">
        <v>2500</v>
      </c>
      <c r="I25" s="3" t="n">
        <f aca="false">IF(AND(C25&gt;0,H25&gt;0),(H25/C25)^(1/5)-1,"-")</f>
        <v>0.056421622299043</v>
      </c>
      <c r="J25" s="4" t="n">
        <f aca="false">IF(AND(C25&gt;0,H25&gt;0),H25-C25,"-")</f>
        <v>600</v>
      </c>
      <c r="K25" s="5" t="s">
        <v>18</v>
      </c>
    </row>
    <row r="26" customFormat="false" ht="15" hidden="false" customHeight="false" outlineLevel="0" collapsed="false">
      <c r="A26" s="0" t="s">
        <v>43</v>
      </c>
      <c r="B26" s="0" t="s">
        <v>37</v>
      </c>
      <c r="C26" s="2" t="n">
        <v>1240</v>
      </c>
      <c r="D26" s="2" t="n">
        <v>1400</v>
      </c>
      <c r="E26" s="2" t="n">
        <v>1590</v>
      </c>
      <c r="F26" s="2" t="n">
        <v>1300</v>
      </c>
      <c r="G26" s="2" t="n">
        <v>1560</v>
      </c>
      <c r="H26" s="2" t="n">
        <v>1700</v>
      </c>
      <c r="I26" s="3" t="n">
        <f aca="false">IF(AND(C26&gt;0,H26&gt;0),(H26/C26)^(1/5)-1,"-")</f>
        <v>0.065136941314389</v>
      </c>
      <c r="J26" s="4" t="n">
        <f aca="false">IF(AND(C26&gt;0,H26&gt;0),H26-C26,"-")</f>
        <v>460</v>
      </c>
      <c r="K26" s="5" t="s">
        <v>18</v>
      </c>
    </row>
    <row r="27" customFormat="false" ht="15" hidden="false" customHeight="false" outlineLevel="0" collapsed="false">
      <c r="A27" s="0" t="s">
        <v>44</v>
      </c>
      <c r="B27" s="0" t="s">
        <v>37</v>
      </c>
      <c r="C27" s="2" t="n">
        <v>505</v>
      </c>
      <c r="D27" s="2" t="n">
        <v>540</v>
      </c>
      <c r="E27" s="2" t="n">
        <v>610</v>
      </c>
      <c r="F27" s="2" t="n">
        <v>530</v>
      </c>
      <c r="G27" s="2" t="n">
        <v>590</v>
      </c>
      <c r="H27" s="2" t="n">
        <v>650</v>
      </c>
      <c r="I27" s="3" t="n">
        <f aca="false">IF(AND(C27&gt;0,H27&gt;0),(H27/C27)^(1/5)-1,"-")</f>
        <v>0.0517787586399254</v>
      </c>
      <c r="J27" s="4" t="n">
        <f aca="false">IF(AND(C27&gt;0,H27&gt;0),H27-C27,"-")</f>
        <v>145</v>
      </c>
      <c r="K27" s="5" t="s">
        <v>45</v>
      </c>
    </row>
    <row r="28" customFormat="false" ht="15" hidden="false" customHeight="false" outlineLevel="0" collapsed="false">
      <c r="A28" s="0" t="s">
        <v>46</v>
      </c>
      <c r="B28" s="0" t="s">
        <v>37</v>
      </c>
      <c r="C28" s="2" t="n">
        <v>1014</v>
      </c>
      <c r="D28" s="2" t="n">
        <v>1141</v>
      </c>
      <c r="E28" s="2" t="n">
        <v>1245</v>
      </c>
      <c r="F28" s="2" t="n">
        <v>1080</v>
      </c>
      <c r="G28" s="2" t="n">
        <v>1200</v>
      </c>
      <c r="H28" s="2" t="n">
        <v>1250</v>
      </c>
      <c r="I28" s="3" t="n">
        <f aca="false">IF(AND(C28&gt;0,H28&gt;0),(H28/C28)^(1/5)-1,"-")</f>
        <v>0.0427361055886808</v>
      </c>
      <c r="J28" s="4" t="n">
        <f aca="false">IF(AND(C28&gt;0,H28&gt;0),H28-C28,"-")</f>
        <v>236</v>
      </c>
      <c r="K28" s="5" t="s">
        <v>45</v>
      </c>
    </row>
    <row r="29" customFormat="false" ht="15" hidden="false" customHeight="false" outlineLevel="0" collapsed="false">
      <c r="A29" s="0" t="s">
        <v>47</v>
      </c>
      <c r="B29" s="0" t="s">
        <v>48</v>
      </c>
      <c r="C29" s="2" t="n">
        <v>1653</v>
      </c>
      <c r="D29" s="2" t="n">
        <v>1729</v>
      </c>
      <c r="E29" s="2" t="n">
        <v>2064</v>
      </c>
      <c r="F29" s="2" t="n">
        <v>1904</v>
      </c>
      <c r="G29" s="2" t="n">
        <v>2037</v>
      </c>
      <c r="H29" s="2" t="n">
        <v>2267</v>
      </c>
      <c r="I29" s="3" t="n">
        <f aca="false">IF(AND(C29&gt;0,H29&gt;0),(H29/C29)^(1/5)-1,"-")</f>
        <v>0.0652112225585728</v>
      </c>
      <c r="J29" s="4" t="n">
        <f aca="false">IF(AND(C29&gt;0,H29&gt;0),H29-C29,"-")</f>
        <v>614</v>
      </c>
      <c r="K29" s="5" t="s">
        <v>13</v>
      </c>
    </row>
    <row r="30" customFormat="false" ht="15" hidden="false" customHeight="false" outlineLevel="0" collapsed="false">
      <c r="A30" s="0" t="s">
        <v>49</v>
      </c>
      <c r="B30" s="0" t="s">
        <v>37</v>
      </c>
      <c r="C30" s="2" t="n">
        <v>416</v>
      </c>
      <c r="D30" s="2" t="n">
        <v>459</v>
      </c>
      <c r="E30" s="2" t="n">
        <v>538</v>
      </c>
      <c r="F30" s="2" t="n">
        <v>446</v>
      </c>
      <c r="G30" s="2" t="n">
        <v>490</v>
      </c>
      <c r="H30" s="2" t="n">
        <v>550</v>
      </c>
      <c r="I30" s="3" t="n">
        <f aca="false">IF(AND(C30&gt;0,H30&gt;0),(H30/C30)^(1/5)-1,"-")</f>
        <v>0.0574354644941706</v>
      </c>
      <c r="J30" s="4" t="n">
        <f aca="false">IF(AND(C30&gt;0,H30&gt;0),H30-C30,"-")</f>
        <v>134</v>
      </c>
      <c r="K30" s="5" t="s">
        <v>45</v>
      </c>
    </row>
    <row r="31" customFormat="false" ht="15" hidden="false" customHeight="false" outlineLevel="0" collapsed="false">
      <c r="A31" s="0" t="s">
        <v>50</v>
      </c>
      <c r="B31" s="0" t="s">
        <v>37</v>
      </c>
      <c r="C31" s="2" t="n">
        <v>1200</v>
      </c>
      <c r="D31" s="2" t="n">
        <v>1350</v>
      </c>
      <c r="E31" s="2" t="n">
        <v>1550</v>
      </c>
      <c r="F31" s="2" t="n">
        <v>1300</v>
      </c>
      <c r="G31" s="2" t="n">
        <v>1500</v>
      </c>
      <c r="H31" s="2" t="n">
        <v>1650</v>
      </c>
      <c r="I31" s="3" t="n">
        <f aca="false">IF(AND(C31&gt;0,H31&gt;0),(H31/C31)^(1/5)-1,"-")</f>
        <v>0.0657627566354742</v>
      </c>
      <c r="J31" s="4" t="n">
        <f aca="false">IF(AND(C31&gt;0,H31&gt;0),H31-C31,"-")</f>
        <v>450</v>
      </c>
      <c r="K31" s="5" t="s">
        <v>45</v>
      </c>
    </row>
    <row r="32" customFormat="false" ht="15" hidden="false" customHeight="false" outlineLevel="0" collapsed="false">
      <c r="A32" s="0" t="s">
        <v>51</v>
      </c>
      <c r="B32" s="0" t="s">
        <v>37</v>
      </c>
      <c r="C32" s="2" t="n">
        <v>550</v>
      </c>
      <c r="D32" s="2" t="n">
        <v>620</v>
      </c>
      <c r="E32" s="2" t="n">
        <v>720</v>
      </c>
      <c r="F32" s="2" t="n">
        <v>600</v>
      </c>
      <c r="G32" s="2" t="n">
        <v>700</v>
      </c>
      <c r="H32" s="2" t="n">
        <v>780</v>
      </c>
      <c r="I32" s="3" t="n">
        <f aca="false">IF(AND(C32&gt;0,H32&gt;0),(H32/C32)^(1/5)-1,"-")</f>
        <v>0.0723742636865934</v>
      </c>
      <c r="J32" s="4" t="n">
        <f aca="false">IF(AND(C32&gt;0,H32&gt;0),H32-C32,"-")</f>
        <v>230</v>
      </c>
      <c r="K32" s="5" t="s">
        <v>45</v>
      </c>
    </row>
    <row r="33" customFormat="false" ht="15" hidden="false" customHeight="false" outlineLevel="0" collapsed="false">
      <c r="A33" s="0" t="s">
        <v>52</v>
      </c>
      <c r="B33" s="0" t="s">
        <v>53</v>
      </c>
      <c r="C33" s="2" t="n">
        <v>90</v>
      </c>
      <c r="D33" s="2" t="n">
        <v>100</v>
      </c>
      <c r="E33" s="2" t="n">
        <v>110</v>
      </c>
      <c r="F33" s="2" t="n">
        <v>95</v>
      </c>
      <c r="G33" s="2" t="n">
        <v>105</v>
      </c>
      <c r="H33" s="2" t="n">
        <v>115</v>
      </c>
      <c r="I33" s="3" t="n">
        <f aca="false">IF(AND(C33&gt;0,H33&gt;0),(H33/C33)^(1/5)-1,"-")</f>
        <v>0.0502460726386826</v>
      </c>
      <c r="J33" s="4" t="n">
        <f aca="false">IF(AND(C33&gt;0,H33&gt;0),H33-C33,"-")</f>
        <v>25</v>
      </c>
      <c r="K33" s="5" t="s">
        <v>45</v>
      </c>
    </row>
    <row r="34" customFormat="false" ht="15" hidden="false" customHeight="false" outlineLevel="0" collapsed="false">
      <c r="A34" s="0" t="s">
        <v>54</v>
      </c>
      <c r="B34" s="0" t="s">
        <v>55</v>
      </c>
      <c r="C34" s="2" t="n">
        <v>2380</v>
      </c>
      <c r="D34" s="2" t="n">
        <v>2630</v>
      </c>
      <c r="E34" s="2" t="n">
        <v>2960</v>
      </c>
      <c r="F34" s="2" t="n">
        <v>2570</v>
      </c>
      <c r="G34" s="2" t="n">
        <v>2970</v>
      </c>
      <c r="H34" s="2" t="n">
        <v>3100</v>
      </c>
      <c r="I34" s="3" t="n">
        <f aca="false">IF(AND(C34&gt;0,H34&gt;0),(H34/C34)^(1/5)-1,"-")</f>
        <v>0.0542823776922841</v>
      </c>
      <c r="J34" s="4" t="n">
        <f aca="false">IF(AND(C34&gt;0,H34&gt;0),H34-C34,"-")</f>
        <v>720</v>
      </c>
      <c r="K34" s="5" t="s">
        <v>18</v>
      </c>
    </row>
    <row r="35" customFormat="false" ht="15" hidden="false" customHeight="false" outlineLevel="0" collapsed="false">
      <c r="A35" s="0" t="s">
        <v>56</v>
      </c>
      <c r="B35" s="0" t="s">
        <v>55</v>
      </c>
      <c r="C35" s="2" t="n">
        <v>900</v>
      </c>
      <c r="D35" s="2" t="n">
        <v>980</v>
      </c>
      <c r="E35" s="2" t="n">
        <v>1080</v>
      </c>
      <c r="F35" s="2" t="n">
        <v>920</v>
      </c>
      <c r="G35" s="2" t="n">
        <v>1000</v>
      </c>
      <c r="H35" s="2" t="n">
        <v>1050</v>
      </c>
      <c r="I35" s="3" t="n">
        <f aca="false">IF(AND(C35&gt;0,H35&gt;0),(H35/C35)^(1/5)-1,"-")</f>
        <v>0.0313103064775451</v>
      </c>
      <c r="J35" s="4" t="n">
        <f aca="false">IF(AND(C35&gt;0,H35&gt;0),H35-C35,"-")</f>
        <v>150</v>
      </c>
      <c r="K35" s="5" t="s">
        <v>18</v>
      </c>
    </row>
    <row r="36" customFormat="false" ht="15" hidden="false" customHeight="false" outlineLevel="0" collapsed="false">
      <c r="A36" s="0" t="s">
        <v>57</v>
      </c>
      <c r="B36" s="0" t="s">
        <v>55</v>
      </c>
      <c r="C36" s="2" t="n">
        <v>1550</v>
      </c>
      <c r="D36" s="2" t="n">
        <v>1750</v>
      </c>
      <c r="E36" s="2" t="n">
        <v>1950</v>
      </c>
      <c r="F36" s="2" t="n">
        <v>1650</v>
      </c>
      <c r="G36" s="2" t="n">
        <v>1850</v>
      </c>
      <c r="H36" s="2" t="n">
        <v>2000</v>
      </c>
      <c r="I36" s="3" t="n">
        <f aca="false">IF(AND(C36&gt;0,H36&gt;0),(H36/C36)^(1/5)-1,"-")</f>
        <v>0.0523002158910777</v>
      </c>
      <c r="J36" s="4" t="n">
        <f aca="false">IF(AND(C36&gt;0,H36&gt;0),H36-C36,"-")</f>
        <v>450</v>
      </c>
      <c r="K36" s="5" t="s">
        <v>13</v>
      </c>
    </row>
    <row r="37" customFormat="false" ht="15" hidden="false" customHeight="false" outlineLevel="0" collapsed="false">
      <c r="A37" s="0" t="s">
        <v>58</v>
      </c>
      <c r="B37" s="0" t="s">
        <v>55</v>
      </c>
      <c r="C37" s="2" t="n">
        <v>403</v>
      </c>
      <c r="D37" s="2" t="n">
        <v>422</v>
      </c>
      <c r="E37" s="2" t="n">
        <v>456</v>
      </c>
      <c r="F37" s="2" t="n">
        <v>382</v>
      </c>
      <c r="G37" s="2" t="n">
        <v>420</v>
      </c>
      <c r="H37" s="2" t="n">
        <v>450</v>
      </c>
      <c r="I37" s="3" t="n">
        <f aca="false">IF(AND(C37&gt;0,H37&gt;0),(H37/C37)^(1/5)-1,"-")</f>
        <v>0.0223073742677362</v>
      </c>
      <c r="J37" s="4" t="n">
        <f aca="false">IF(AND(C37&gt;0,H37&gt;0),H37-C37,"-")</f>
        <v>47</v>
      </c>
      <c r="K37" s="5" t="s">
        <v>13</v>
      </c>
    </row>
    <row r="38" customFormat="false" ht="15" hidden="false" customHeight="false" outlineLevel="0" collapsed="false">
      <c r="A38" s="0" t="s">
        <v>59</v>
      </c>
      <c r="B38" s="0" t="s">
        <v>55</v>
      </c>
      <c r="C38" s="2" t="n">
        <v>1300</v>
      </c>
      <c r="D38" s="2" t="n">
        <v>1380</v>
      </c>
      <c r="E38" s="2" t="n">
        <v>1530</v>
      </c>
      <c r="F38" s="2" t="n">
        <v>1298</v>
      </c>
      <c r="G38" s="2" t="n">
        <v>1375</v>
      </c>
      <c r="H38" s="2" t="n">
        <v>1375</v>
      </c>
      <c r="I38" s="3" t="n">
        <f aca="false">IF(AND(C38&gt;0,H38&gt;0),(H38/C38)^(1/5)-1,"-")</f>
        <v>0.011281049835639</v>
      </c>
      <c r="J38" s="4" t="n">
        <f aca="false">IF(AND(C38&gt;0,H38&gt;0),H38-C38,"-")</f>
        <v>75</v>
      </c>
      <c r="K38" s="5" t="s">
        <v>13</v>
      </c>
    </row>
    <row r="39" customFormat="false" ht="15" hidden="false" customHeight="false" outlineLevel="0" collapsed="false">
      <c r="A39" s="0" t="s">
        <v>60</v>
      </c>
      <c r="B39" s="0" t="s">
        <v>55</v>
      </c>
      <c r="C39" s="2" t="n">
        <v>600</v>
      </c>
      <c r="D39" s="2" t="n">
        <v>700</v>
      </c>
      <c r="E39" s="2" t="n">
        <v>870</v>
      </c>
      <c r="F39" s="2" t="n">
        <v>760</v>
      </c>
      <c r="G39" s="2" t="n">
        <v>845</v>
      </c>
      <c r="H39" s="2" t="n">
        <v>920</v>
      </c>
      <c r="I39" s="3" t="n">
        <f aca="false">IF(AND(C39&gt;0,H39&gt;0),(H39/C39)^(1/5)-1,"-")</f>
        <v>0.0892493649129438</v>
      </c>
      <c r="J39" s="4" t="n">
        <f aca="false">IF(AND(C39&gt;0,H39&gt;0),H39-C39,"-")</f>
        <v>320</v>
      </c>
      <c r="K39" s="5" t="s">
        <v>18</v>
      </c>
    </row>
    <row r="40" customFormat="false" ht="15" hidden="false" customHeight="false" outlineLevel="0" collapsed="false">
      <c r="A40" s="0" t="s">
        <v>61</v>
      </c>
      <c r="B40" s="0" t="s">
        <v>55</v>
      </c>
      <c r="C40" s="2" t="n">
        <v>530</v>
      </c>
      <c r="D40" s="2" t="n">
        <v>560</v>
      </c>
      <c r="E40" s="2" t="n">
        <v>695</v>
      </c>
      <c r="F40" s="2" t="n">
        <v>632</v>
      </c>
      <c r="G40" s="2" t="n">
        <v>712</v>
      </c>
      <c r="H40" s="2" t="n">
        <v>712</v>
      </c>
      <c r="I40" s="3" t="n">
        <f aca="false">IF(AND(C40&gt;0,H40&gt;0),(H40/C40)^(1/5)-1,"-")</f>
        <v>0.0608178645779656</v>
      </c>
      <c r="J40" s="4" t="n">
        <f aca="false">IF(AND(C40&gt;0,H40&gt;0),H40-C40,"-")</f>
        <v>182</v>
      </c>
      <c r="K40" s="5" t="s">
        <v>13</v>
      </c>
    </row>
    <row r="41" customFormat="false" ht="15" hidden="false" customHeight="false" outlineLevel="0" collapsed="false">
      <c r="A41" s="0" t="s">
        <v>62</v>
      </c>
      <c r="B41" s="0" t="s">
        <v>55</v>
      </c>
      <c r="C41" s="2" t="n">
        <v>650</v>
      </c>
      <c r="D41" s="2" t="n">
        <v>720</v>
      </c>
      <c r="E41" s="2" t="n">
        <v>820</v>
      </c>
      <c r="F41" s="2" t="n">
        <v>700</v>
      </c>
      <c r="G41" s="2" t="n">
        <v>760</v>
      </c>
      <c r="H41" s="2" t="n">
        <v>830</v>
      </c>
      <c r="I41" s="3" t="n">
        <f aca="false">IF(AND(C41&gt;0,H41&gt;0),(H41/C41)^(1/5)-1,"-")</f>
        <v>0.0501055338844669</v>
      </c>
      <c r="J41" s="4" t="n">
        <f aca="false">IF(AND(C41&gt;0,H41&gt;0),H41-C41,"-")</f>
        <v>180</v>
      </c>
      <c r="K41" s="5" t="s">
        <v>45</v>
      </c>
    </row>
    <row r="42" customFormat="false" ht="15" hidden="false" customHeight="false" outlineLevel="0" collapsed="false">
      <c r="A42" s="0" t="s">
        <v>63</v>
      </c>
      <c r="B42" s="0" t="s">
        <v>64</v>
      </c>
      <c r="C42" s="2" t="n">
        <v>280</v>
      </c>
      <c r="D42" s="2" t="n">
        <v>300</v>
      </c>
      <c r="E42" s="2" t="n">
        <v>335</v>
      </c>
      <c r="F42" s="2" t="n">
        <v>310</v>
      </c>
      <c r="G42" s="2" t="n">
        <v>341</v>
      </c>
      <c r="H42" s="2" t="n">
        <v>366</v>
      </c>
      <c r="I42" s="3" t="n">
        <f aca="false">IF(AND(C42&gt;0,H42&gt;0),(H42/C42)^(1/5)-1,"-")</f>
        <v>0.0550295183828524</v>
      </c>
      <c r="J42" s="4" t="n">
        <f aca="false">IF(AND(C42&gt;0,H42&gt;0),H42-C42,"-")</f>
        <v>86</v>
      </c>
      <c r="K42" s="5" t="s">
        <v>13</v>
      </c>
    </row>
    <row r="43" customFormat="false" ht="15" hidden="false" customHeight="false" outlineLevel="0" collapsed="false">
      <c r="A43" s="0" t="s">
        <v>65</v>
      </c>
      <c r="B43" s="0" t="s">
        <v>55</v>
      </c>
      <c r="C43" s="2" t="n">
        <v>270</v>
      </c>
      <c r="D43" s="2" t="n">
        <v>300</v>
      </c>
      <c r="E43" s="2" t="n">
        <v>350</v>
      </c>
      <c r="F43" s="2" t="n">
        <v>300</v>
      </c>
      <c r="G43" s="2" t="n">
        <v>330</v>
      </c>
      <c r="H43" s="2" t="n">
        <v>360</v>
      </c>
      <c r="I43" s="3" t="n">
        <f aca="false">IF(AND(C43&gt;0,H43&gt;0),(H43/C43)^(1/5)-1,"-")</f>
        <v>0.0592238410488122</v>
      </c>
      <c r="J43" s="4" t="n">
        <f aca="false">IF(AND(C43&gt;0,H43&gt;0),H43-C43,"-")</f>
        <v>90</v>
      </c>
      <c r="K43" s="5" t="s">
        <v>45</v>
      </c>
    </row>
    <row r="44" customFormat="false" ht="15" hidden="false" customHeight="false" outlineLevel="0" collapsed="false">
      <c r="A44" s="0" t="s">
        <v>66</v>
      </c>
      <c r="B44" s="0" t="s">
        <v>55</v>
      </c>
      <c r="C44" s="2" t="n">
        <v>540</v>
      </c>
      <c r="D44" s="2" t="n">
        <v>610</v>
      </c>
      <c r="E44" s="2" t="n">
        <v>780</v>
      </c>
      <c r="F44" s="2" t="n">
        <v>640</v>
      </c>
      <c r="G44" s="2" t="n">
        <v>740</v>
      </c>
      <c r="H44" s="2" t="n">
        <v>850</v>
      </c>
      <c r="I44" s="3" t="n">
        <f aca="false">IF(AND(C44&gt;0,H44&gt;0),(H44/C44)^(1/5)-1,"-")</f>
        <v>0.0949770914344741</v>
      </c>
      <c r="J44" s="4" t="n">
        <f aca="false">IF(AND(C44&gt;0,H44&gt;0),H44-C44,"-")</f>
        <v>310</v>
      </c>
      <c r="K44" s="5" t="s">
        <v>13</v>
      </c>
    </row>
    <row r="45" customFormat="false" ht="15" hidden="false" customHeight="false" outlineLevel="0" collapsed="false">
      <c r="A45" s="0" t="s">
        <v>67</v>
      </c>
      <c r="B45" s="0" t="s">
        <v>68</v>
      </c>
      <c r="C45" s="2" t="n">
        <v>571</v>
      </c>
      <c r="D45" s="2" t="n">
        <v>649</v>
      </c>
      <c r="E45" s="2" t="n">
        <v>881</v>
      </c>
      <c r="F45" s="2" t="n">
        <v>975</v>
      </c>
      <c r="G45" s="2" t="n">
        <v>1040</v>
      </c>
      <c r="H45" s="2" t="n">
        <v>1270</v>
      </c>
      <c r="I45" s="3" t="n">
        <f aca="false">IF(AND(C45&gt;0,H45&gt;0),(H45/C45)^(1/5)-1,"-")</f>
        <v>0.173366061596893</v>
      </c>
      <c r="J45" s="4" t="n">
        <f aca="false">IF(AND(C45&gt;0,H45&gt;0),H45-C45,"-")</f>
        <v>699</v>
      </c>
      <c r="K45" s="5" t="s">
        <v>13</v>
      </c>
    </row>
    <row r="46" customFormat="false" ht="15" hidden="false" customHeight="false" outlineLevel="0" collapsed="false">
      <c r="A46" s="0" t="s">
        <v>69</v>
      </c>
      <c r="B46" s="0" t="s">
        <v>68</v>
      </c>
      <c r="C46" s="2" t="n">
        <v>370</v>
      </c>
      <c r="D46" s="2" t="n">
        <v>520</v>
      </c>
      <c r="E46" s="2" t="n">
        <v>690</v>
      </c>
      <c r="F46" s="2" t="n">
        <v>790</v>
      </c>
      <c r="G46" s="2" t="n">
        <v>935</v>
      </c>
      <c r="H46" s="2" t="n">
        <v>1061</v>
      </c>
      <c r="I46" s="3" t="n">
        <f aca="false">IF(AND(C46&gt;0,H46&gt;0),(H46/C46)^(1/5)-1,"-")</f>
        <v>0.234533081083012</v>
      </c>
      <c r="J46" s="4" t="n">
        <f aca="false">IF(AND(C46&gt;0,H46&gt;0),H46-C46,"-")</f>
        <v>691</v>
      </c>
      <c r="K46" s="5" t="s">
        <v>18</v>
      </c>
    </row>
    <row r="47" customFormat="false" ht="15" hidden="false" customHeight="false" outlineLevel="0" collapsed="false">
      <c r="A47" s="0" t="s">
        <v>70</v>
      </c>
      <c r="B47" s="0" t="s">
        <v>68</v>
      </c>
      <c r="C47" s="2" t="n">
        <v>218</v>
      </c>
      <c r="D47" s="2" t="n">
        <v>252</v>
      </c>
      <c r="E47" s="2" t="n">
        <v>471</v>
      </c>
      <c r="F47" s="2" t="n">
        <v>504</v>
      </c>
      <c r="G47" s="2" t="n">
        <v>553</v>
      </c>
      <c r="H47" s="2" t="n">
        <v>638</v>
      </c>
      <c r="I47" s="3" t="n">
        <f aca="false">IF(AND(C47&gt;0,H47&gt;0),(H47/C47)^(1/5)-1,"-")</f>
        <v>0.23957508079441</v>
      </c>
      <c r="J47" s="4" t="n">
        <f aca="false">IF(AND(C47&gt;0,H47&gt;0),H47-C47,"-")</f>
        <v>420</v>
      </c>
      <c r="K47" s="5" t="s">
        <v>13</v>
      </c>
    </row>
    <row r="48" customFormat="false" ht="15" hidden="false" customHeight="false" outlineLevel="0" collapsed="false">
      <c r="A48" s="0" t="s">
        <v>71</v>
      </c>
      <c r="B48" s="0" t="s">
        <v>68</v>
      </c>
      <c r="C48" s="2" t="n">
        <v>331</v>
      </c>
      <c r="D48" s="2" t="n">
        <v>455</v>
      </c>
      <c r="E48" s="2" t="n">
        <v>498</v>
      </c>
      <c r="F48" s="2" t="n">
        <v>523</v>
      </c>
      <c r="G48" s="2" t="n">
        <v>651</v>
      </c>
      <c r="H48" s="2" t="n">
        <v>785</v>
      </c>
      <c r="I48" s="3" t="n">
        <f aca="false">IF(AND(C48&gt;0,H48&gt;0),(H48/C48)^(1/5)-1,"-")</f>
        <v>0.188525030861507</v>
      </c>
      <c r="J48" s="4" t="n">
        <f aca="false">IF(AND(C48&gt;0,H48&gt;0),H48-C48,"-")</f>
        <v>454</v>
      </c>
      <c r="K48" s="5" t="s">
        <v>13</v>
      </c>
    </row>
    <row r="49" customFormat="false" ht="15" hidden="false" customHeight="false" outlineLevel="0" collapsed="false">
      <c r="A49" s="0" t="s">
        <v>72</v>
      </c>
      <c r="B49" s="0" t="s">
        <v>68</v>
      </c>
      <c r="C49" s="2" t="n">
        <v>224</v>
      </c>
      <c r="D49" s="2" t="n">
        <v>260</v>
      </c>
      <c r="E49" s="2" t="n">
        <v>301</v>
      </c>
      <c r="F49" s="2" t="n">
        <v>373</v>
      </c>
      <c r="G49" s="2" t="n">
        <v>425</v>
      </c>
      <c r="H49" s="2" t="n">
        <v>441</v>
      </c>
      <c r="I49" s="3" t="n">
        <f aca="false">IF(AND(C49&gt;0,H49&gt;0),(H49/C49)^(1/5)-1,"-")</f>
        <v>0.145086024461791</v>
      </c>
      <c r="J49" s="4" t="n">
        <f aca="false">IF(AND(C49&gt;0,H49&gt;0),H49-C49,"-")</f>
        <v>217</v>
      </c>
      <c r="K49" s="5" t="s">
        <v>13</v>
      </c>
    </row>
    <row r="50" customFormat="false" ht="15" hidden="false" customHeight="false" outlineLevel="0" collapsed="false">
      <c r="A50" s="0" t="s">
        <v>73</v>
      </c>
      <c r="B50" s="0" t="s">
        <v>68</v>
      </c>
      <c r="C50" s="2" t="n">
        <v>149</v>
      </c>
      <c r="D50" s="2" t="n">
        <v>197</v>
      </c>
      <c r="E50" s="2" t="n">
        <v>306</v>
      </c>
      <c r="F50" s="2" t="n">
        <v>352</v>
      </c>
      <c r="G50" s="2" t="n">
        <v>395</v>
      </c>
      <c r="H50" s="2" t="n">
        <v>450</v>
      </c>
      <c r="I50" s="3" t="n">
        <f aca="false">IF(AND(C50&gt;0,H50&gt;0),(H50/C50)^(1/5)-1,"-")</f>
        <v>0.247398590755506</v>
      </c>
      <c r="J50" s="4" t="n">
        <f aca="false">IF(AND(C50&gt;0,H50&gt;0),H50-C50,"-")</f>
        <v>301</v>
      </c>
      <c r="K50" s="5" t="s">
        <v>13</v>
      </c>
    </row>
    <row r="51" customFormat="false" ht="15" hidden="false" customHeight="false" outlineLevel="0" collapsed="false">
      <c r="A51" s="0" t="s">
        <v>74</v>
      </c>
      <c r="B51" s="0" t="s">
        <v>68</v>
      </c>
      <c r="C51" s="2" t="n">
        <v>82</v>
      </c>
      <c r="D51" s="2" t="n">
        <v>95</v>
      </c>
      <c r="E51" s="2" t="n">
        <v>130</v>
      </c>
      <c r="F51" s="2" t="n">
        <v>150</v>
      </c>
      <c r="G51" s="2" t="n">
        <v>185</v>
      </c>
      <c r="H51" s="2" t="n">
        <v>210</v>
      </c>
      <c r="I51" s="3" t="n">
        <f aca="false">IF(AND(C51&gt;0,H51&gt;0),(H51/C51)^(1/5)-1,"-")</f>
        <v>0.206927237685601</v>
      </c>
      <c r="J51" s="4" t="n">
        <f aca="false">IF(AND(C51&gt;0,H51&gt;0),H51-C51,"-")</f>
        <v>128</v>
      </c>
      <c r="K51" s="5" t="s">
        <v>45</v>
      </c>
    </row>
    <row r="52" customFormat="false" ht="15" hidden="false" customHeight="false" outlineLevel="0" collapsed="false">
      <c r="A52" s="0" t="s">
        <v>75</v>
      </c>
      <c r="B52" s="0" t="s">
        <v>76</v>
      </c>
      <c r="C52" s="2" t="n">
        <v>420</v>
      </c>
      <c r="D52" s="2" t="n">
        <v>490</v>
      </c>
      <c r="E52" s="2" t="n">
        <v>620</v>
      </c>
      <c r="F52" s="2" t="n">
        <v>530</v>
      </c>
      <c r="G52" s="2" t="n">
        <v>588</v>
      </c>
      <c r="H52" s="2" t="n">
        <v>588</v>
      </c>
      <c r="I52" s="3" t="n">
        <f aca="false">IF(AND(C52&gt;0,H52&gt;0),(H52/C52)^(1/5)-1,"-")</f>
        <v>0.0696103757250688</v>
      </c>
      <c r="J52" s="4" t="n">
        <f aca="false">IF(AND(C52&gt;0,H52&gt;0),H52-C52,"-")</f>
        <v>168</v>
      </c>
      <c r="K52" s="5" t="s">
        <v>18</v>
      </c>
    </row>
    <row r="53" customFormat="false" ht="15" hidden="false" customHeight="false" outlineLevel="0" collapsed="false">
      <c r="A53" s="0" t="s">
        <v>77</v>
      </c>
      <c r="B53" s="0" t="s">
        <v>68</v>
      </c>
      <c r="C53" s="2" t="n">
        <v>18</v>
      </c>
      <c r="D53" s="2" t="n">
        <v>25</v>
      </c>
      <c r="E53" s="2" t="n">
        <v>31</v>
      </c>
      <c r="F53" s="2" t="n">
        <v>33</v>
      </c>
      <c r="G53" s="2" t="n">
        <v>36</v>
      </c>
      <c r="H53" s="2" t="n">
        <v>38</v>
      </c>
      <c r="I53" s="3" t="n">
        <f aca="false">IF(AND(C53&gt;0,H53&gt;0),(H53/C53)^(1/5)-1,"-")</f>
        <v>0.161187142333162</v>
      </c>
      <c r="J53" s="4" t="n">
        <f aca="false">IF(AND(C53&gt;0,H53&gt;0),H53-C53,"-")</f>
        <v>20</v>
      </c>
      <c r="K53" s="5" t="s">
        <v>45</v>
      </c>
    </row>
    <row r="54" customFormat="false" ht="15" hidden="false" customHeight="false" outlineLevel="0" collapsed="false">
      <c r="A54" s="0" t="s">
        <v>78</v>
      </c>
      <c r="B54" s="0" t="s">
        <v>79</v>
      </c>
      <c r="C54" s="2" t="n">
        <v>10</v>
      </c>
      <c r="D54" s="2" t="n">
        <v>12</v>
      </c>
      <c r="E54" s="2" t="n">
        <v>15</v>
      </c>
      <c r="F54" s="2" t="n">
        <v>14</v>
      </c>
      <c r="G54" s="2" t="n">
        <v>16</v>
      </c>
      <c r="H54" s="2" t="n">
        <v>18</v>
      </c>
      <c r="I54" s="3" t="n">
        <f aca="false">IF(AND(C54&gt;0,H54&gt;0),(H54/C54)^(1/5)-1,"-")</f>
        <v>0.124746113142095</v>
      </c>
      <c r="J54" s="4" t="n">
        <f aca="false">IF(AND(C54&gt;0,H54&gt;0),H54-C54,"-")</f>
        <v>8</v>
      </c>
      <c r="K54" s="5" t="s">
        <v>45</v>
      </c>
    </row>
    <row r="55" customFormat="false" ht="15" hidden="false" customHeight="false" outlineLevel="0" collapsed="false">
      <c r="A55" s="0" t="s">
        <v>80</v>
      </c>
      <c r="B55" s="0" t="s">
        <v>81</v>
      </c>
      <c r="C55" s="2" t="n">
        <v>60</v>
      </c>
      <c r="D55" s="2" t="n">
        <v>72</v>
      </c>
      <c r="E55" s="2" t="n">
        <v>94</v>
      </c>
      <c r="F55" s="2" t="n">
        <v>96</v>
      </c>
      <c r="G55" s="2" t="n">
        <v>109</v>
      </c>
      <c r="H55" s="2" t="n">
        <v>127</v>
      </c>
      <c r="I55" s="3" t="n">
        <f aca="false">IF(AND(C55&gt;0,H55&gt;0),(H55/C55)^(1/5)-1,"-")</f>
        <v>0.161797651157626</v>
      </c>
      <c r="J55" s="4" t="n">
        <f aca="false">IF(AND(C55&gt;0,H55&gt;0),H55-C55,"-")</f>
        <v>67</v>
      </c>
      <c r="K55" s="5" t="s">
        <v>45</v>
      </c>
    </row>
    <row r="56" customFormat="false" ht="15" hidden="false" customHeight="false" outlineLevel="0" collapsed="false">
      <c r="A56" s="0" t="s">
        <v>82</v>
      </c>
      <c r="B56" s="0" t="s">
        <v>83</v>
      </c>
      <c r="C56" s="2" t="n">
        <v>55</v>
      </c>
      <c r="D56" s="2" t="n">
        <v>60</v>
      </c>
      <c r="E56" s="2" t="n">
        <v>70</v>
      </c>
      <c r="F56" s="2" t="n">
        <v>60</v>
      </c>
      <c r="G56" s="2" t="n">
        <v>65</v>
      </c>
      <c r="H56" s="2" t="n">
        <v>70</v>
      </c>
      <c r="I56" s="3" t="n">
        <f aca="false">IF(AND(C56&gt;0,H56&gt;0),(H56/C56)^(1/5)-1,"-")</f>
        <v>0.0494145228445839</v>
      </c>
      <c r="J56" s="4" t="n">
        <f aca="false">IF(AND(C56&gt;0,H56&gt;0),H56-C56,"-")</f>
        <v>15</v>
      </c>
      <c r="K56" s="5" t="s">
        <v>45</v>
      </c>
    </row>
    <row r="57" customFormat="false" ht="15" hidden="false" customHeight="false" outlineLevel="0" collapsed="false">
      <c r="A57" s="0" t="s">
        <v>84</v>
      </c>
      <c r="B57" s="0" t="s">
        <v>85</v>
      </c>
      <c r="C57" s="2" t="n">
        <v>46</v>
      </c>
      <c r="D57" s="2" t="n">
        <v>59</v>
      </c>
      <c r="E57" s="2" t="n">
        <v>75</v>
      </c>
      <c r="F57" s="2" t="n">
        <v>60</v>
      </c>
      <c r="G57" s="2" t="n">
        <v>70</v>
      </c>
      <c r="H57" s="2" t="n">
        <v>85</v>
      </c>
      <c r="I57" s="3" t="n">
        <f aca="false">IF(AND(C57&gt;0,H57&gt;0),(H57/C57)^(1/5)-1,"-")</f>
        <v>0.130660496340057</v>
      </c>
      <c r="J57" s="4" t="n">
        <f aca="false">IF(AND(C57&gt;0,H57&gt;0),H57-C57,"-")</f>
        <v>39</v>
      </c>
      <c r="K57" s="5" t="s">
        <v>45</v>
      </c>
    </row>
    <row r="58" customFormat="false" ht="15" hidden="false" customHeight="false" outlineLevel="0" collapsed="false">
      <c r="A58" s="0" t="s">
        <v>86</v>
      </c>
      <c r="B58" s="0" t="s">
        <v>87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3" t="str">
        <f aca="false">IF(AND(C58&gt;0,H58&gt;0),(H58/C58)^(1/5)-1,"-")</f>
        <v>-</v>
      </c>
      <c r="J58" s="4" t="str">
        <f aca="false">IF(AND(C58&gt;0,H58&gt;0),H58-C58,"-")</f>
        <v>-</v>
      </c>
      <c r="K58" s="5" t="s">
        <v>45</v>
      </c>
    </row>
    <row r="59" customFormat="false" ht="15" hidden="false" customHeight="false" outlineLevel="0" collapsed="false">
      <c r="A59" s="0" t="s">
        <v>88</v>
      </c>
      <c r="B59" s="0" t="s">
        <v>89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3" t="str">
        <f aca="false">IF(AND(C59&gt;0,H59&gt;0),(H59/C59)^(1/5)-1,"-")</f>
        <v>-</v>
      </c>
      <c r="J59" s="4" t="str">
        <f aca="false">IF(AND(C59&gt;0,H59&gt;0),H59-C59,"-")</f>
        <v>-</v>
      </c>
      <c r="K59" s="5" t="s">
        <v>45</v>
      </c>
    </row>
    <row r="60" customFormat="false" ht="15" hidden="false" customHeight="false" outlineLevel="0" collapsed="false">
      <c r="A60" s="0" t="s">
        <v>90</v>
      </c>
      <c r="B60" s="0" t="s">
        <v>91</v>
      </c>
      <c r="C60" s="2" t="n">
        <v>35</v>
      </c>
      <c r="D60" s="2" t="n">
        <v>38</v>
      </c>
      <c r="E60" s="2" t="n">
        <v>42</v>
      </c>
      <c r="F60" s="2" t="n">
        <v>36</v>
      </c>
      <c r="G60" s="2" t="n">
        <v>40</v>
      </c>
      <c r="H60" s="2" t="n">
        <v>45</v>
      </c>
      <c r="I60" s="3" t="n">
        <f aca="false">IF(AND(C60&gt;0,H60&gt;0),(H60/C60)^(1/5)-1,"-")</f>
        <v>0.0515474967972804</v>
      </c>
      <c r="J60" s="4" t="n">
        <f aca="false">IF(AND(C60&gt;0,H60&gt;0),H60-C60,"-")</f>
        <v>10</v>
      </c>
      <c r="K60" s="5" t="s">
        <v>45</v>
      </c>
    </row>
    <row r="61" customFormat="false" ht="15" hidden="false" customHeight="false" outlineLevel="0" collapsed="false">
      <c r="A61" s="0" t="s">
        <v>92</v>
      </c>
      <c r="B61" s="0" t="s">
        <v>93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3" t="str">
        <f aca="false">IF(AND(C61&gt;0,H61&gt;0),(H61/C61)^(1/5)-1,"-")</f>
        <v>-</v>
      </c>
      <c r="J61" s="4" t="str">
        <f aca="false">IF(AND(C61&gt;0,H61&gt;0),H61-C61,"-")</f>
        <v>-</v>
      </c>
      <c r="K61" s="5" t="s">
        <v>45</v>
      </c>
    </row>
    <row r="62" customFormat="false" ht="15" hidden="false" customHeight="false" outlineLevel="0" collapsed="false">
      <c r="A62" s="0" t="s">
        <v>94</v>
      </c>
      <c r="B62" s="0" t="s">
        <v>95</v>
      </c>
      <c r="C62" s="2" t="n">
        <v>68</v>
      </c>
      <c r="D62" s="2" t="n">
        <v>70</v>
      </c>
      <c r="E62" s="2" t="n">
        <v>0</v>
      </c>
      <c r="F62" s="2" t="n">
        <v>0</v>
      </c>
      <c r="G62" s="2" t="n">
        <v>0</v>
      </c>
      <c r="H62" s="2" t="n">
        <v>0</v>
      </c>
      <c r="I62" s="3" t="str">
        <f aca="false">IF(AND(C62&gt;0,H62&gt;0),(H62/C62)^(1/5)-1,"-")</f>
        <v>-</v>
      </c>
      <c r="J62" s="4" t="str">
        <f aca="false">IF(AND(C62&gt;0,H62&gt;0),H62-C62,"-")</f>
        <v>-</v>
      </c>
      <c r="K62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4" min="2" style="0" width="13"/>
  </cols>
  <sheetData>
    <row r="1" customFormat="false" ht="28.35" hidden="false" customHeight="false" outlineLevel="0" collapsed="false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</row>
    <row r="2" customFormat="false" ht="15" hidden="false" customHeight="false" outlineLevel="0" collapsed="false">
      <c r="A2" s="0" t="s">
        <v>11</v>
      </c>
      <c r="B2" s="2" t="n">
        <v>14539</v>
      </c>
      <c r="C2" s="2" t="n">
        <v>16205</v>
      </c>
      <c r="D2" s="2" t="n">
        <v>19374</v>
      </c>
      <c r="E2" s="2" t="n">
        <v>17873</v>
      </c>
      <c r="F2" s="2" t="n">
        <v>17859</v>
      </c>
      <c r="G2" s="2" t="n">
        <v>20407</v>
      </c>
      <c r="H2" s="2" t="n">
        <v>5501</v>
      </c>
      <c r="I2" s="2" t="n">
        <v>5695</v>
      </c>
      <c r="J2" s="2" t="n">
        <v>7450</v>
      </c>
      <c r="K2" s="2" t="n">
        <v>6385</v>
      </c>
      <c r="L2" s="2" t="n">
        <v>6275</v>
      </c>
      <c r="M2" s="2" t="n">
        <v>7574</v>
      </c>
      <c r="N2" s="2" t="n">
        <v>4526</v>
      </c>
      <c r="O2" s="2" t="n">
        <v>4932</v>
      </c>
      <c r="P2" s="2" t="n">
        <v>5902</v>
      </c>
      <c r="Q2" s="2" t="n">
        <v>5180</v>
      </c>
      <c r="R2" s="2" t="n">
        <v>5502</v>
      </c>
      <c r="S2" s="2" t="n">
        <v>6369</v>
      </c>
      <c r="T2" s="3" t="n">
        <f aca="false">IF(B2&gt;0,(G2/B2)^(1/5)-1,"-")</f>
        <v>0.0701605212261975</v>
      </c>
      <c r="U2" s="3" t="n">
        <f aca="false">IF(G2&gt;0,M2/G2,"-")</f>
        <v>0.371147155387857</v>
      </c>
      <c r="V2" s="3" t="n">
        <f aca="false">AVERAGE(H2/B2,I2/C2,J2/D2,K2/E2,L2/F2,M2/G2)</f>
        <v>0.365680958067497</v>
      </c>
      <c r="W2" s="3" t="n">
        <f aca="false">IF(G2&gt;0,S2/G2,"-")</f>
        <v>0.312098789631009</v>
      </c>
      <c r="X2" s="3" t="n">
        <f aca="false">AVERAGE(N2/B2,O2/C2,P2/D2,Q2/E2,R2/F2,S2/G2)</f>
        <v>0.305047935585598</v>
      </c>
    </row>
    <row r="3" customFormat="false" ht="15" hidden="false" customHeight="false" outlineLevel="0" collapsed="false">
      <c r="A3" s="0" t="s">
        <v>119</v>
      </c>
      <c r="B3" s="2" t="n">
        <v>11757</v>
      </c>
      <c r="C3" s="2" t="n">
        <v>11703</v>
      </c>
      <c r="D3" s="2" t="n">
        <v>12026</v>
      </c>
      <c r="E3" s="2" t="n">
        <v>12310</v>
      </c>
      <c r="F3" s="2" t="n">
        <v>11895</v>
      </c>
      <c r="G3" s="2" t="n">
        <v>12645</v>
      </c>
      <c r="H3" s="2" t="n">
        <v>2610</v>
      </c>
      <c r="I3" s="2" t="n">
        <v>2620</v>
      </c>
      <c r="J3" s="2" t="n">
        <v>2890</v>
      </c>
      <c r="K3" s="2" t="n">
        <v>2450</v>
      </c>
      <c r="L3" s="2" t="n">
        <v>2100</v>
      </c>
      <c r="M3" s="2" t="n">
        <v>2800</v>
      </c>
      <c r="N3" s="2" t="n">
        <v>2250</v>
      </c>
      <c r="O3" s="2" t="n">
        <v>2200</v>
      </c>
      <c r="P3" s="2" t="n">
        <v>2400</v>
      </c>
      <c r="Q3" s="2" t="n">
        <v>2050</v>
      </c>
      <c r="R3" s="2" t="n">
        <v>1800</v>
      </c>
      <c r="S3" s="2" t="n">
        <v>2350</v>
      </c>
      <c r="T3" s="3" t="n">
        <f aca="false">IF(B3&gt;0,(G3/B3)^(1/5)-1,"-")</f>
        <v>0.0146691659113802</v>
      </c>
      <c r="U3" s="3" t="n">
        <f aca="false">IF(G3&gt;0,M3/G3,"-")</f>
        <v>0.22143139580862</v>
      </c>
      <c r="V3" s="3" t="n">
        <f aca="false">AVERAGE(H3/B3,I3/C3,J3/D3,K3/E3,L3/F3,M3/G3)</f>
        <v>0.213863938080786</v>
      </c>
      <c r="W3" s="3" t="n">
        <f aca="false">IF(G3&gt;0,S3/G3,"-")</f>
        <v>0.18584420719652</v>
      </c>
      <c r="X3" s="3" t="n">
        <f aca="false">AVERAGE(N3/B3,O3/C3,P3/D3,Q3/E3,R3/F3,S3/G3)</f>
        <v>0.180438084868732</v>
      </c>
    </row>
    <row r="4" customFormat="false" ht="15" hidden="false" customHeight="false" outlineLevel="0" collapsed="false">
      <c r="A4" s="0" t="s">
        <v>20</v>
      </c>
      <c r="B4" s="2" t="n">
        <v>5618</v>
      </c>
      <c r="C4" s="2" t="n">
        <v>6207</v>
      </c>
      <c r="D4" s="2" t="n">
        <v>7672</v>
      </c>
      <c r="E4" s="2" t="n">
        <v>6488</v>
      </c>
      <c r="F4" s="2" t="n">
        <v>6461</v>
      </c>
      <c r="G4" s="2" t="n">
        <v>7094</v>
      </c>
      <c r="H4" s="2" t="n">
        <v>2298</v>
      </c>
      <c r="I4" s="2" t="n">
        <v>2591</v>
      </c>
      <c r="J4" s="2" t="n">
        <v>3002</v>
      </c>
      <c r="K4" s="2" t="n">
        <v>1522</v>
      </c>
      <c r="L4" s="2" t="n">
        <v>1744</v>
      </c>
      <c r="M4" s="2" t="n">
        <v>2044</v>
      </c>
      <c r="N4" s="2" t="n">
        <v>2131</v>
      </c>
      <c r="O4" s="2" t="n">
        <v>2372</v>
      </c>
      <c r="P4" s="2" t="n">
        <v>3001</v>
      </c>
      <c r="Q4" s="2" t="n">
        <v>1522</v>
      </c>
      <c r="R4" s="2" t="n">
        <v>1744</v>
      </c>
      <c r="S4" s="2" t="n">
        <v>2044</v>
      </c>
      <c r="T4" s="3" t="n">
        <f aca="false">IF(B4&gt;0,(G4/B4)^(1/5)-1,"-")</f>
        <v>0.0477601817809958</v>
      </c>
      <c r="U4" s="3" t="n">
        <f aca="false">IF(G4&gt;0,M4/G4,"-")</f>
        <v>0.288130814773048</v>
      </c>
      <c r="V4" s="3" t="n">
        <f aca="false">AVERAGE(H4/B4,I4/C4,J4/D4,K4/E4,L4/F4,M4/G4)</f>
        <v>0.335068718234759</v>
      </c>
      <c r="W4" s="3" t="n">
        <f aca="false">IF(G4&gt;0,S4/G4,"-")</f>
        <v>0.288130814773048</v>
      </c>
      <c r="X4" s="3" t="n">
        <f aca="false">AVERAGE(N4/B4,O4/C4,P4/D4,Q4/E4,R4/F4,S4/G4)</f>
        <v>0.324212223152676</v>
      </c>
    </row>
    <row r="5" customFormat="false" ht="15" hidden="false" customHeight="false" outlineLevel="0" collapsed="false">
      <c r="A5" s="0" t="s">
        <v>22</v>
      </c>
      <c r="B5" s="2" t="n">
        <v>4949</v>
      </c>
      <c r="C5" s="2" t="n">
        <v>5890</v>
      </c>
      <c r="D5" s="2" t="n">
        <v>6895</v>
      </c>
      <c r="E5" s="2" t="n">
        <v>5853</v>
      </c>
      <c r="F5" s="2" t="n">
        <v>5723</v>
      </c>
      <c r="G5" s="2" t="n">
        <v>6100</v>
      </c>
      <c r="H5" s="2" t="n">
        <v>570</v>
      </c>
      <c r="I5" s="2" t="n">
        <v>786</v>
      </c>
      <c r="J5" s="2" t="n">
        <v>1149</v>
      </c>
      <c r="K5" s="2" t="n">
        <v>520</v>
      </c>
      <c r="L5" s="2" t="n">
        <v>480</v>
      </c>
      <c r="M5" s="2" t="n">
        <v>600</v>
      </c>
      <c r="N5" s="2" t="n">
        <v>328</v>
      </c>
      <c r="O5" s="2" t="n">
        <v>420</v>
      </c>
      <c r="P5" s="2" t="n">
        <v>703</v>
      </c>
      <c r="Q5" s="2" t="n">
        <v>250</v>
      </c>
      <c r="R5" s="2" t="n">
        <v>310</v>
      </c>
      <c r="S5" s="2" t="n">
        <v>400</v>
      </c>
      <c r="T5" s="3" t="n">
        <f aca="false">IF(B5&gt;0,(G5/B5)^(1/5)-1,"-")</f>
        <v>0.0427074493136594</v>
      </c>
      <c r="U5" s="3" t="n">
        <f aca="false">IF(G5&gt;0,M5/G5,"-")</f>
        <v>0.0983606557377049</v>
      </c>
      <c r="V5" s="3" t="n">
        <f aca="false">AVERAGE(H5/B5,I5/C5,J5/D5,K5/E5,L5/F5,M5/G5)</f>
        <v>0.1143899793118</v>
      </c>
      <c r="W5" s="3" t="n">
        <f aca="false">IF(G5&gt;0,S5/G5,"-")</f>
        <v>0.0655737704918033</v>
      </c>
      <c r="X5" s="3" t="n">
        <f aca="false">AVERAGE(N5/B5,O5/C5,P5/D5,Q5/E5,R5/F5,S5/G5)</f>
        <v>0.0669992600298114</v>
      </c>
    </row>
    <row r="6" customFormat="false" ht="15" hidden="false" customHeight="false" outlineLevel="0" collapsed="false">
      <c r="A6" s="0" t="s">
        <v>21</v>
      </c>
      <c r="B6" s="2" t="n">
        <v>5766</v>
      </c>
      <c r="C6" s="2" t="n">
        <v>5631</v>
      </c>
      <c r="D6" s="2" t="n">
        <v>8122</v>
      </c>
      <c r="E6" s="2" t="n">
        <v>7849</v>
      </c>
      <c r="F6" s="2" t="n">
        <v>7850</v>
      </c>
      <c r="G6" s="2" t="n">
        <v>8200</v>
      </c>
      <c r="H6" s="2" t="n">
        <v>1420</v>
      </c>
      <c r="I6" s="2" t="n">
        <v>1350</v>
      </c>
      <c r="J6" s="2" t="n">
        <v>1890</v>
      </c>
      <c r="K6" s="2" t="n">
        <v>1650</v>
      </c>
      <c r="L6" s="2" t="n">
        <v>1600</v>
      </c>
      <c r="M6" s="2" t="n">
        <v>1700</v>
      </c>
      <c r="N6" s="2" t="n">
        <v>1100</v>
      </c>
      <c r="O6" s="2" t="n">
        <v>1050</v>
      </c>
      <c r="P6" s="2" t="n">
        <v>1400</v>
      </c>
      <c r="Q6" s="2" t="n">
        <v>1200</v>
      </c>
      <c r="R6" s="2" t="n">
        <v>1150</v>
      </c>
      <c r="S6" s="2" t="n">
        <v>1250</v>
      </c>
      <c r="T6" s="3" t="n">
        <f aca="false">IF(B6&gt;0,(G6/B6)^(1/5)-1,"-")</f>
        <v>0.0729706510210693</v>
      </c>
      <c r="U6" s="3" t="n">
        <f aca="false">IF(G6&gt;0,M6/G6,"-")</f>
        <v>0.207317073170732</v>
      </c>
      <c r="V6" s="3" t="n">
        <f aca="false">AVERAGE(H6/B6,I6/C6,J6/D6,K6/E6,L6/F6,M6/G6)</f>
        <v>0.223345569078894</v>
      </c>
      <c r="W6" s="3" t="n">
        <f aca="false">IF(G6&gt;0,S6/G6,"-")</f>
        <v>0.152439024390244</v>
      </c>
      <c r="X6" s="3" t="n">
        <f aca="false">AVERAGE(N6/B6,O6/C6,P6/D6,Q6/E6,R6/F6,S6/G6)</f>
        <v>0.166905693708802</v>
      </c>
    </row>
    <row r="7" customFormat="false" ht="15" hidden="false" customHeight="false" outlineLevel="0" collapsed="false">
      <c r="A7" s="0" t="s">
        <v>30</v>
      </c>
      <c r="B7" s="2" t="n">
        <v>2958</v>
      </c>
      <c r="C7" s="2" t="n">
        <v>2881</v>
      </c>
      <c r="D7" s="2" t="n">
        <v>3524</v>
      </c>
      <c r="E7" s="2" t="n">
        <v>3100</v>
      </c>
      <c r="F7" s="2" t="n">
        <v>3200</v>
      </c>
      <c r="G7" s="2" t="n">
        <v>3400</v>
      </c>
      <c r="H7" s="2" t="n">
        <v>850</v>
      </c>
      <c r="I7" s="2" t="n">
        <v>750</v>
      </c>
      <c r="J7" s="2" t="n">
        <v>1000</v>
      </c>
      <c r="K7" s="2" t="n">
        <v>750</v>
      </c>
      <c r="L7" s="2" t="n">
        <v>800</v>
      </c>
      <c r="M7" s="2" t="n">
        <v>850</v>
      </c>
      <c r="N7" s="2" t="n">
        <v>650</v>
      </c>
      <c r="O7" s="2" t="n">
        <v>580</v>
      </c>
      <c r="P7" s="2" t="n">
        <v>780</v>
      </c>
      <c r="Q7" s="2" t="n">
        <v>580</v>
      </c>
      <c r="R7" s="2" t="n">
        <v>620</v>
      </c>
      <c r="S7" s="2" t="n">
        <v>660</v>
      </c>
      <c r="T7" s="3" t="n">
        <f aca="false">IF(B7&gt;0,(G7/B7)^(1/5)-1,"-")</f>
        <v>0.0282439182670979</v>
      </c>
      <c r="U7" s="3" t="n">
        <f aca="false">IF(G7&gt;0,M7/G7,"-")</f>
        <v>0.25</v>
      </c>
      <c r="V7" s="3" t="n">
        <f aca="false">AVERAGE(H7/B7,I7/C7,J7/D7,K7/E7,L7/F7,M7/G7)</f>
        <v>0.26223108770962</v>
      </c>
      <c r="W7" s="3" t="n">
        <f aca="false">IF(G7&gt;0,S7/G7,"-")</f>
        <v>0.194117647058824</v>
      </c>
      <c r="X7" s="3" t="n">
        <f aca="false">AVERAGE(N7/B7,O7/C7,P7/D7,Q7/E7,R7/F7,S7/G7)</f>
        <v>0.202894310736202</v>
      </c>
    </row>
    <row r="8" customFormat="false" ht="15" hidden="false" customHeight="false" outlineLevel="0" collapsed="false">
      <c r="A8" s="0" t="s">
        <v>23</v>
      </c>
      <c r="B8" s="2" t="n">
        <v>3350</v>
      </c>
      <c r="C8" s="2" t="n">
        <v>3580</v>
      </c>
      <c r="D8" s="2" t="n">
        <v>4200</v>
      </c>
      <c r="E8" s="2" t="n">
        <v>3850</v>
      </c>
      <c r="F8" s="2" t="n">
        <v>4100</v>
      </c>
      <c r="G8" s="2" t="n">
        <v>4300</v>
      </c>
      <c r="H8" s="2" t="n">
        <v>520</v>
      </c>
      <c r="I8" s="2" t="n">
        <v>560</v>
      </c>
      <c r="J8" s="2" t="n">
        <v>710</v>
      </c>
      <c r="K8" s="2" t="n">
        <v>550</v>
      </c>
      <c r="L8" s="2" t="n">
        <v>600</v>
      </c>
      <c r="M8" s="2" t="n">
        <v>650</v>
      </c>
      <c r="N8" s="2" t="n">
        <v>380</v>
      </c>
      <c r="O8" s="2" t="n">
        <v>410</v>
      </c>
      <c r="P8" s="2" t="n">
        <v>530</v>
      </c>
      <c r="Q8" s="2" t="n">
        <v>400</v>
      </c>
      <c r="R8" s="2" t="n">
        <v>440</v>
      </c>
      <c r="S8" s="2" t="n">
        <v>480</v>
      </c>
      <c r="T8" s="3" t="n">
        <f aca="false">IF(B8&gt;0,(G8/B8)^(1/5)-1,"-")</f>
        <v>0.0511984932365432</v>
      </c>
      <c r="U8" s="3" t="n">
        <f aca="false">IF(G8&gt;0,M8/G8,"-")</f>
        <v>0.151162790697674</v>
      </c>
      <c r="V8" s="3" t="n">
        <f aca="false">AVERAGE(H8/B8,I8/C8,J8/D8,K8/E8,L8/F8,M8/G8)</f>
        <v>0.153509579603279</v>
      </c>
      <c r="W8" s="3" t="n">
        <f aca="false">IF(G8&gt;0,S8/G8,"-")</f>
        <v>0.111627906976744</v>
      </c>
      <c r="X8" s="3" t="n">
        <f aca="false">AVERAGE(N8/B8,O8/C8,P8/D8,Q8/E8,R8/F8,S8/G8)</f>
        <v>0.112831589286626</v>
      </c>
    </row>
    <row r="9" customFormat="false" ht="15" hidden="false" customHeight="false" outlineLevel="0" collapsed="false">
      <c r="A9" s="0" t="s">
        <v>67</v>
      </c>
      <c r="B9" s="2" t="n">
        <v>5237</v>
      </c>
      <c r="C9" s="2" t="n">
        <v>4554</v>
      </c>
      <c r="D9" s="2" t="n">
        <v>22633</v>
      </c>
      <c r="E9" s="2" t="n">
        <v>6301</v>
      </c>
      <c r="F9" s="2" t="n">
        <v>8665</v>
      </c>
      <c r="G9" s="2" t="n">
        <v>11452</v>
      </c>
      <c r="H9" s="2" t="n">
        <v>1650</v>
      </c>
      <c r="I9" s="2" t="n">
        <v>1400</v>
      </c>
      <c r="J9" s="2" t="n">
        <v>11200</v>
      </c>
      <c r="K9" s="2" t="n">
        <v>2100</v>
      </c>
      <c r="L9" s="2" t="n">
        <v>3500</v>
      </c>
      <c r="M9" s="2" t="n">
        <v>4800</v>
      </c>
      <c r="N9" s="2" t="n">
        <v>2200</v>
      </c>
      <c r="O9" s="2" t="n">
        <v>1650</v>
      </c>
      <c r="P9" s="2" t="n">
        <v>12800</v>
      </c>
      <c r="Q9" s="2" t="n">
        <v>2450</v>
      </c>
      <c r="R9" s="2" t="n">
        <v>3100</v>
      </c>
      <c r="S9" s="2" t="n">
        <v>4200</v>
      </c>
      <c r="T9" s="3" t="n">
        <f aca="false">IF(B9&gt;0,(G9/B9)^(1/5)-1,"-")</f>
        <v>0.169391016269008</v>
      </c>
      <c r="U9" s="3" t="n">
        <f aca="false">IF(G9&gt;0,M9/G9,"-")</f>
        <v>0.41914076143905</v>
      </c>
      <c r="V9" s="3" t="n">
        <f aca="false">AVERAGE(H9/B9,I9/C9,J9/D9,K9/E9,L9/F9,M9/G9)</f>
        <v>0.378947599562167</v>
      </c>
      <c r="W9" s="3" t="n">
        <f aca="false">IF(G9&gt;0,S9/G9,"-")</f>
        <v>0.366748166259169</v>
      </c>
      <c r="X9" s="3" t="n">
        <f aca="false">AVERAGE(N9/B9,O9/C9,P9/D9,Q9/E9,R9/F9,S9/G9)</f>
        <v>0.410214834318418</v>
      </c>
    </row>
    <row r="10" customFormat="false" ht="15" hidden="false" customHeight="false" outlineLevel="0" collapsed="false">
      <c r="A10" s="0" t="s">
        <v>70</v>
      </c>
      <c r="B10" s="2" t="n">
        <v>1943</v>
      </c>
      <c r="C10" s="2" t="n">
        <v>1945</v>
      </c>
      <c r="D10" s="2" t="n">
        <v>4258</v>
      </c>
      <c r="E10" s="2" t="n">
        <v>4616</v>
      </c>
      <c r="F10" s="2" t="n">
        <v>5296</v>
      </c>
      <c r="G10" s="2" t="n">
        <v>8700</v>
      </c>
      <c r="H10" s="2" t="n">
        <v>850</v>
      </c>
      <c r="I10" s="2" t="n">
        <v>900</v>
      </c>
      <c r="J10" s="2" t="n">
        <v>1800</v>
      </c>
      <c r="K10" s="2" t="n">
        <v>1600</v>
      </c>
      <c r="L10" s="2" t="n">
        <v>1900</v>
      </c>
      <c r="M10" s="2" t="n">
        <v>3100</v>
      </c>
      <c r="N10" s="2" t="n">
        <v>1610</v>
      </c>
      <c r="O10" s="2" t="n">
        <v>1880</v>
      </c>
      <c r="P10" s="2" t="n">
        <v>4640</v>
      </c>
      <c r="Q10" s="2" t="n">
        <v>2570</v>
      </c>
      <c r="R10" s="2" t="n">
        <v>3680</v>
      </c>
      <c r="S10" s="2" t="n">
        <v>4560</v>
      </c>
      <c r="T10" s="3" t="n">
        <f aca="false">IF(B10&gt;0,(G10/B10)^(1/5)-1,"-")</f>
        <v>0.349613116560842</v>
      </c>
      <c r="U10" s="3" t="n">
        <f aca="false">IF(G10&gt;0,M10/G10,"-")</f>
        <v>0.35632183908046</v>
      </c>
      <c r="V10" s="3" t="n">
        <f aca="false">AVERAGE(H10/B10,I10/C10,J10/D10,K10/E10,L10/F10,M10/G10)</f>
        <v>0.397438344292564</v>
      </c>
      <c r="W10" s="3" t="n">
        <f aca="false">IF(G10&gt;0,S10/G10,"-")</f>
        <v>0.524137931034483</v>
      </c>
      <c r="X10" s="3" t="n">
        <f aca="false">AVERAGE(N10/B10,O10/C10,P10/D10,Q10/E10,R10/F10,S10/G10)</f>
        <v>0.776778513084249</v>
      </c>
    </row>
    <row r="11" customFormat="false" ht="15" hidden="false" customHeight="false" outlineLevel="0" collapsed="false">
      <c r="A11" s="0" t="s">
        <v>71</v>
      </c>
      <c r="B11" s="2" t="n">
        <v>1850</v>
      </c>
      <c r="C11" s="2" t="n">
        <v>1870</v>
      </c>
      <c r="D11" s="2" t="n">
        <v>2390</v>
      </c>
      <c r="E11" s="2" t="n">
        <v>11680</v>
      </c>
      <c r="F11" s="2" t="n">
        <v>23080</v>
      </c>
      <c r="G11" s="2" t="n">
        <v>26500</v>
      </c>
      <c r="H11" s="2" t="n">
        <v>750</v>
      </c>
      <c r="I11" s="2" t="n">
        <v>780</v>
      </c>
      <c r="J11" s="2" t="n">
        <v>1100</v>
      </c>
      <c r="K11" s="2" t="n">
        <v>2500</v>
      </c>
      <c r="L11" s="2" t="n">
        <v>3800</v>
      </c>
      <c r="M11" s="2" t="n">
        <v>4500</v>
      </c>
      <c r="N11" s="2" t="n">
        <v>680</v>
      </c>
      <c r="O11" s="2" t="n">
        <v>650</v>
      </c>
      <c r="P11" s="2" t="n">
        <v>950</v>
      </c>
      <c r="Q11" s="2" t="n">
        <v>2100</v>
      </c>
      <c r="R11" s="2" t="n">
        <v>3200</v>
      </c>
      <c r="S11" s="2" t="n">
        <v>3800</v>
      </c>
      <c r="T11" s="3" t="n">
        <f aca="false">IF(B11&gt;0,(G11/B11)^(1/5)-1,"-")</f>
        <v>0.703000710321171</v>
      </c>
      <c r="U11" s="3" t="n">
        <f aca="false">IF(G11&gt;0,M11/G11,"-")</f>
        <v>0.169811320754717</v>
      </c>
      <c r="V11" s="3" t="n">
        <f aca="false">AVERAGE(H11/B11,I11/C11,J11/D11,K11/E11,L11/F11,M11/G11)</f>
        <v>0.305210980263168</v>
      </c>
      <c r="W11" s="3" t="n">
        <f aca="false">IF(G11&gt;0,S11/G11,"-")</f>
        <v>0.143396226415094</v>
      </c>
      <c r="X11" s="3" t="n">
        <f aca="false">AVERAGE(N11/B11,O11/C11,P11/D11,Q11/E11,R11/F11,S11/G11)</f>
        <v>0.262414936234983</v>
      </c>
    </row>
    <row r="12" customFormat="false" ht="15" hidden="false" customHeight="false" outlineLevel="0" collapsed="false">
      <c r="A12" s="0" t="s">
        <v>72</v>
      </c>
      <c r="B12" s="2" t="n">
        <v>2270</v>
      </c>
      <c r="C12" s="2" t="n">
        <v>2130</v>
      </c>
      <c r="D12" s="2" t="n">
        <v>4600</v>
      </c>
      <c r="E12" s="2" t="n">
        <v>3000</v>
      </c>
      <c r="F12" s="2" t="n">
        <v>3550</v>
      </c>
      <c r="G12" s="2" t="n">
        <v>3900</v>
      </c>
      <c r="H12" s="2" t="n">
        <v>400</v>
      </c>
      <c r="I12" s="2" t="n">
        <v>350</v>
      </c>
      <c r="J12" s="2" t="n">
        <v>1800</v>
      </c>
      <c r="K12" s="2" t="n">
        <v>600</v>
      </c>
      <c r="L12" s="2" t="n">
        <v>800</v>
      </c>
      <c r="M12" s="2" t="n">
        <v>950</v>
      </c>
      <c r="N12" s="2" t="n">
        <v>320</v>
      </c>
      <c r="O12" s="2" t="n">
        <v>280</v>
      </c>
      <c r="P12" s="2" t="n">
        <v>1500</v>
      </c>
      <c r="Q12" s="2" t="n">
        <v>480</v>
      </c>
      <c r="R12" s="2" t="n">
        <v>620</v>
      </c>
      <c r="S12" s="2" t="n">
        <v>750</v>
      </c>
      <c r="T12" s="3" t="n">
        <f aca="false">IF(B12&gt;0,(G12/B12)^(1/5)-1,"-")</f>
        <v>0.11431441830801</v>
      </c>
      <c r="U12" s="3" t="n">
        <f aca="false">IF(G12&gt;0,M12/G12,"-")</f>
        <v>0.243589743589744</v>
      </c>
      <c r="V12" s="3" t="n">
        <f aca="false">AVERAGE(H12/B12,I12/C12,J12/D12,K12/E12,L12/F12,M12/G12)</f>
        <v>0.233462817777112</v>
      </c>
      <c r="W12" s="3" t="n">
        <f aca="false">IF(G12&gt;0,S12/G12,"-")</f>
        <v>0.192307692307692</v>
      </c>
      <c r="X12" s="3" t="n">
        <f aca="false">AVERAGE(N12/B12,O12/C12,P12/D12,Q12/E12,R12/F12,S12/G12)</f>
        <v>0.187577849701667</v>
      </c>
    </row>
    <row r="13" customFormat="false" ht="15" hidden="false" customHeight="false" outlineLevel="0" collapsed="false">
      <c r="A13" s="0" t="s">
        <v>73</v>
      </c>
      <c r="B13" s="2" t="n">
        <v>1028</v>
      </c>
      <c r="C13" s="2" t="n">
        <v>1240</v>
      </c>
      <c r="D13" s="2" t="n">
        <v>2097</v>
      </c>
      <c r="E13" s="2" t="n">
        <v>3167</v>
      </c>
      <c r="F13" s="2" t="n">
        <v>3536</v>
      </c>
      <c r="G13" s="2" t="n">
        <v>4200</v>
      </c>
      <c r="H13" s="2" t="n">
        <v>280</v>
      </c>
      <c r="I13" s="2" t="n">
        <v>350</v>
      </c>
      <c r="J13" s="2" t="n">
        <v>650</v>
      </c>
      <c r="K13" s="2" t="n">
        <v>950</v>
      </c>
      <c r="L13" s="2" t="n">
        <v>1100</v>
      </c>
      <c r="M13" s="2" t="n">
        <v>1350</v>
      </c>
      <c r="N13" s="2" t="n">
        <v>200</v>
      </c>
      <c r="O13" s="2" t="n">
        <v>260</v>
      </c>
      <c r="P13" s="2" t="n">
        <v>480</v>
      </c>
      <c r="Q13" s="2" t="n">
        <v>700</v>
      </c>
      <c r="R13" s="2" t="n">
        <v>820</v>
      </c>
      <c r="S13" s="2" t="n">
        <v>1000</v>
      </c>
      <c r="T13" s="3" t="n">
        <f aca="false">IF(B13&gt;0,(G13/B13)^(1/5)-1,"-")</f>
        <v>0.325107875573472</v>
      </c>
      <c r="U13" s="3" t="n">
        <f aca="false">IF(G13&gt;0,M13/G13,"-")</f>
        <v>0.321428571428571</v>
      </c>
      <c r="V13" s="3" t="n">
        <f aca="false">AVERAGE(H13/B13,I13/C13,J13/D13,K13/E13,L13/F13,M13/G13)</f>
        <v>0.299513532167881</v>
      </c>
      <c r="W13" s="3" t="n">
        <f aca="false">IF(G13&gt;0,S13/G13,"-")</f>
        <v>0.238095238095238</v>
      </c>
      <c r="X13" s="3" t="n">
        <f aca="false">AVERAGE(N13/B13,O13/C13,P13/D13,Q13/E13,R13/F13,S13/G13)</f>
        <v>0.220692238462488</v>
      </c>
    </row>
    <row r="14" customFormat="false" ht="15" hidden="false" customHeight="false" outlineLevel="0" collapsed="false">
      <c r="A14" s="0" t="s">
        <v>47</v>
      </c>
      <c r="B14" s="2" t="n">
        <v>2740</v>
      </c>
      <c r="C14" s="2" t="n">
        <v>2610</v>
      </c>
      <c r="D14" s="2" t="n">
        <v>3100</v>
      </c>
      <c r="E14" s="2" t="n">
        <v>3100</v>
      </c>
      <c r="F14" s="2" t="n">
        <v>3300</v>
      </c>
      <c r="G14" s="2" t="n">
        <v>3500</v>
      </c>
      <c r="H14" s="2" t="n">
        <v>1100</v>
      </c>
      <c r="I14" s="2" t="n">
        <v>1000</v>
      </c>
      <c r="J14" s="2" t="n">
        <v>1350</v>
      </c>
      <c r="K14" s="2" t="n">
        <v>1150</v>
      </c>
      <c r="L14" s="2" t="n">
        <v>1250</v>
      </c>
      <c r="M14" s="2" t="n">
        <v>1400</v>
      </c>
      <c r="N14" s="2" t="n">
        <v>900</v>
      </c>
      <c r="O14" s="2" t="n">
        <v>820</v>
      </c>
      <c r="P14" s="2" t="n">
        <v>1100</v>
      </c>
      <c r="Q14" s="2" t="n">
        <v>950</v>
      </c>
      <c r="R14" s="2" t="n">
        <v>1000</v>
      </c>
      <c r="S14" s="2" t="n">
        <v>1100</v>
      </c>
      <c r="T14" s="3" t="n">
        <f aca="false">IF(B14&gt;0,(G14/B14)^(1/5)-1,"-")</f>
        <v>0.0501794030467888</v>
      </c>
      <c r="U14" s="3" t="n">
        <f aca="false">IF(G14&gt;0,M14/G14,"-")</f>
        <v>0.4</v>
      </c>
      <c r="V14" s="3" t="n">
        <f aca="false">AVERAGE(H14/B14,I14/C14,J14/D14,K14/E14,L14/F14,M14/G14)</f>
        <v>0.394973518026302</v>
      </c>
      <c r="W14" s="3" t="n">
        <f aca="false">IF(G14&gt;0,S14/G14,"-")</f>
        <v>0.314285714285714</v>
      </c>
      <c r="X14" s="3" t="n">
        <f aca="false">AVERAGE(N14/B14,O14/C14,P14/D14,Q14/E14,R14/F14,S14/G14)</f>
        <v>0.32020828973201</v>
      </c>
    </row>
    <row r="15" customFormat="false" ht="15" hidden="false" customHeight="false" outlineLevel="0" collapsed="false">
      <c r="A15" s="0" t="s">
        <v>25</v>
      </c>
      <c r="B15" s="2" t="n">
        <v>1182</v>
      </c>
      <c r="C15" s="2" t="n">
        <v>1065</v>
      </c>
      <c r="D15" s="2" t="n">
        <v>1131</v>
      </c>
      <c r="E15" s="2" t="n">
        <v>1224</v>
      </c>
      <c r="F15" s="2" t="n">
        <v>1548</v>
      </c>
      <c r="G15" s="2" t="n">
        <v>1700</v>
      </c>
      <c r="H15" s="2" t="n">
        <v>350</v>
      </c>
      <c r="I15" s="2" t="n">
        <v>290</v>
      </c>
      <c r="J15" s="2" t="n">
        <v>310</v>
      </c>
      <c r="K15" s="2" t="n">
        <v>400</v>
      </c>
      <c r="L15" s="2" t="n">
        <v>480</v>
      </c>
      <c r="M15" s="2" t="n">
        <v>550</v>
      </c>
      <c r="N15" s="2" t="n">
        <v>275</v>
      </c>
      <c r="O15" s="2" t="n">
        <v>230</v>
      </c>
      <c r="P15" s="2" t="n">
        <v>250</v>
      </c>
      <c r="Q15" s="2" t="n">
        <v>320</v>
      </c>
      <c r="R15" s="2" t="n">
        <v>380</v>
      </c>
      <c r="S15" s="2" t="n">
        <v>440</v>
      </c>
      <c r="T15" s="3" t="n">
        <f aca="false">IF(B15&gt;0,(G15/B15)^(1/5)-1,"-")</f>
        <v>0.0753907311912307</v>
      </c>
      <c r="U15" s="3" t="n">
        <f aca="false">IF(G15&gt;0,M15/G15,"-")</f>
        <v>0.323529411764706</v>
      </c>
      <c r="V15" s="3" t="n">
        <f aca="false">AVERAGE(H15/B15,I15/C15,J15/D15,K15/E15,L15/F15,M15/G15)</f>
        <v>0.300484466608461</v>
      </c>
      <c r="W15" s="3" t="n">
        <f aca="false">IF(G15&gt;0,S15/G15,"-")</f>
        <v>0.258823529411765</v>
      </c>
      <c r="X15" s="3" t="n">
        <f aca="false">AVERAGE(N15/B15,O15/C15,P15/D15,Q15/E15,R15/F15,S15/G15)</f>
        <v>0.239233625712127</v>
      </c>
    </row>
    <row r="16" customFormat="false" ht="15" hidden="false" customHeight="false" outlineLevel="0" collapsed="false">
      <c r="A16" s="0" t="s">
        <v>66</v>
      </c>
      <c r="B16" s="2" t="n">
        <v>12980</v>
      </c>
      <c r="C16" s="2" t="n">
        <v>12080</v>
      </c>
      <c r="D16" s="2" t="n">
        <v>14050</v>
      </c>
      <c r="E16" s="2" t="n">
        <v>13330</v>
      </c>
      <c r="F16" s="2" t="n">
        <v>15100</v>
      </c>
      <c r="G16" s="2" t="n">
        <v>17500</v>
      </c>
      <c r="H16" s="2" t="n">
        <v>2600</v>
      </c>
      <c r="I16" s="2" t="n">
        <v>2400</v>
      </c>
      <c r="J16" s="2" t="n">
        <v>2900</v>
      </c>
      <c r="K16" s="2" t="n">
        <v>2700</v>
      </c>
      <c r="L16" s="2" t="n">
        <v>3000</v>
      </c>
      <c r="M16" s="2" t="n">
        <v>3500</v>
      </c>
      <c r="N16" s="2" t="n">
        <v>1900</v>
      </c>
      <c r="O16" s="2" t="n">
        <v>1700</v>
      </c>
      <c r="P16" s="2" t="n">
        <v>2100</v>
      </c>
      <c r="Q16" s="2" t="n">
        <v>1950</v>
      </c>
      <c r="R16" s="2" t="n">
        <v>2200</v>
      </c>
      <c r="S16" s="2" t="n">
        <v>2600</v>
      </c>
      <c r="T16" s="3" t="n">
        <f aca="false">IF(B16&gt;0,(G16/B16)^(1/5)-1,"-")</f>
        <v>0.0615798615273817</v>
      </c>
      <c r="U16" s="3" t="n">
        <f aca="false">IF(G16&gt;0,M16/G16,"-")</f>
        <v>0.2</v>
      </c>
      <c r="V16" s="3" t="n">
        <f aca="false">AVERAGE(H16/B16,I16/C16,J16/D16,K16/E16,L16/F16,M16/G16)</f>
        <v>0.20110258189949</v>
      </c>
      <c r="W16" s="3" t="n">
        <f aca="false">IF(G16&gt;0,S16/G16,"-")</f>
        <v>0.148571428571429</v>
      </c>
      <c r="X16" s="3" t="n">
        <f aca="false">AVERAGE(N16/B16,O16/C16,P16/D16,Q16/E16,R16/F16,S16/G16)</f>
        <v>0.146187846354815</v>
      </c>
    </row>
    <row r="17" customFormat="false" ht="15" hidden="false" customHeight="false" outlineLevel="0" collapsed="false">
      <c r="A17" s="0" t="s">
        <v>31</v>
      </c>
      <c r="B17" s="2" t="n">
        <v>2540</v>
      </c>
      <c r="C17" s="2" t="n">
        <v>2280</v>
      </c>
      <c r="D17" s="2" t="n">
        <v>2970</v>
      </c>
      <c r="E17" s="2" t="n">
        <v>2450</v>
      </c>
      <c r="F17" s="2" t="n">
        <v>2730</v>
      </c>
      <c r="G17" s="2" t="n">
        <v>3052</v>
      </c>
      <c r="H17" s="2" t="n">
        <v>420</v>
      </c>
      <c r="I17" s="2" t="n">
        <v>310</v>
      </c>
      <c r="J17" s="2" t="n">
        <v>590</v>
      </c>
      <c r="K17" s="2" t="n">
        <v>320</v>
      </c>
      <c r="L17" s="2" t="n">
        <v>380</v>
      </c>
      <c r="M17" s="2" t="n">
        <v>480</v>
      </c>
      <c r="N17" s="2" t="n">
        <v>300</v>
      </c>
      <c r="O17" s="2" t="n">
        <v>200</v>
      </c>
      <c r="P17" s="2" t="n">
        <v>430</v>
      </c>
      <c r="Q17" s="2" t="n">
        <v>220</v>
      </c>
      <c r="R17" s="2" t="n">
        <v>260</v>
      </c>
      <c r="S17" s="2" t="n">
        <v>350</v>
      </c>
      <c r="T17" s="3" t="n">
        <f aca="false">IF(B17&gt;0,(G17/B17)^(1/5)-1,"-")</f>
        <v>0.0374093610659405</v>
      </c>
      <c r="U17" s="3" t="n">
        <f aca="false">IF(G17&gt;0,M17/G17,"-")</f>
        <v>0.157273918741809</v>
      </c>
      <c r="V17" s="3" t="n">
        <f aca="false">AVERAGE(H17/B17,I17/C17,J17/D17,K17/E17,L17/F17,M17/G17)</f>
        <v>0.154508790746078</v>
      </c>
      <c r="W17" s="3" t="n">
        <f aca="false">IF(G17&gt;0,S17/G17,"-")</f>
        <v>0.114678899082569</v>
      </c>
      <c r="X17" s="3" t="n">
        <f aca="false">AVERAGE(N17/B17,O17/C17,P17/D17,Q17/E17,R17/F17,S17/G17)</f>
        <v>0.10838726532254</v>
      </c>
    </row>
    <row r="18" customFormat="false" ht="15" hidden="false" customHeight="false" outlineLevel="0" collapsed="false">
      <c r="A18" s="0" t="s">
        <v>32</v>
      </c>
      <c r="B18" s="2" t="n">
        <v>2150</v>
      </c>
      <c r="C18" s="2" t="n">
        <v>2060</v>
      </c>
      <c r="D18" s="2" t="n">
        <v>2260</v>
      </c>
      <c r="E18" s="2" t="n">
        <v>2100</v>
      </c>
      <c r="F18" s="2" t="n">
        <v>2050</v>
      </c>
      <c r="G18" s="2" t="n">
        <v>2040</v>
      </c>
      <c r="H18" s="2" t="n">
        <v>650</v>
      </c>
      <c r="I18" s="2" t="n">
        <v>600</v>
      </c>
      <c r="J18" s="2" t="n">
        <v>720</v>
      </c>
      <c r="K18" s="2" t="n">
        <v>580</v>
      </c>
      <c r="L18" s="2" t="n">
        <v>540</v>
      </c>
      <c r="M18" s="2" t="n">
        <v>550</v>
      </c>
      <c r="N18" s="2" t="n">
        <v>500</v>
      </c>
      <c r="O18" s="2" t="n">
        <v>450</v>
      </c>
      <c r="P18" s="2" t="n">
        <v>560</v>
      </c>
      <c r="Q18" s="2" t="n">
        <v>420</v>
      </c>
      <c r="R18" s="2" t="n">
        <v>410</v>
      </c>
      <c r="S18" s="2" t="n">
        <v>440</v>
      </c>
      <c r="T18" s="3" t="n">
        <f aca="false">IF(B18&gt;0,(G18/B18)^(1/5)-1,"-")</f>
        <v>-0.0104486366084919</v>
      </c>
      <c r="U18" s="3" t="n">
        <f aca="false">IF(G18&gt;0,M18/G18,"-")</f>
        <v>0.269607843137255</v>
      </c>
      <c r="V18" s="3" t="n">
        <f aca="false">AVERAGE(H18/B18,I18/C18,J18/D18,K18/E18,L18/F18,M18/G18)</f>
        <v>0.286897456931369</v>
      </c>
      <c r="W18" s="3" t="n">
        <f aca="false">IF(G18&gt;0,S18/G18,"-")</f>
        <v>0.215686274509804</v>
      </c>
      <c r="X18" s="3" t="n">
        <f aca="false">AVERAGE(N18/B18,O18/C18,P18/D18,Q18/E18,R18/F18,S18/G18)</f>
        <v>0.219079771100984</v>
      </c>
    </row>
    <row r="19" customFormat="false" ht="15" hidden="false" customHeight="false" outlineLevel="0" collapsed="false">
      <c r="A19" s="0" t="s">
        <v>34</v>
      </c>
      <c r="B19" s="2" t="n">
        <v>875</v>
      </c>
      <c r="C19" s="2" t="n">
        <v>929</v>
      </c>
      <c r="D19" s="2" t="n">
        <v>1150</v>
      </c>
      <c r="E19" s="2" t="n">
        <v>975</v>
      </c>
      <c r="F19" s="2" t="n">
        <v>975</v>
      </c>
      <c r="G19" s="2" t="n">
        <v>1110</v>
      </c>
      <c r="H19" s="2" t="n">
        <v>320</v>
      </c>
      <c r="I19" s="2" t="n">
        <v>350</v>
      </c>
      <c r="J19" s="2" t="n">
        <v>450</v>
      </c>
      <c r="K19" s="2" t="n">
        <v>330</v>
      </c>
      <c r="L19" s="2" t="n">
        <v>310</v>
      </c>
      <c r="M19" s="2" t="n">
        <v>370</v>
      </c>
      <c r="N19" s="2" t="n">
        <v>210</v>
      </c>
      <c r="O19" s="2" t="n">
        <v>230</v>
      </c>
      <c r="P19" s="2" t="n">
        <v>300</v>
      </c>
      <c r="Q19" s="2" t="n">
        <v>200</v>
      </c>
      <c r="R19" s="2" t="n">
        <v>203</v>
      </c>
      <c r="S19" s="2" t="n">
        <v>237</v>
      </c>
      <c r="T19" s="3" t="n">
        <f aca="false">IF(B19&gt;0,(G19/B19)^(1/5)-1,"-")</f>
        <v>0.0487282940261371</v>
      </c>
      <c r="U19" s="3" t="n">
        <f aca="false">IF(G19&gt;0,M19/G19,"-")</f>
        <v>0.333333333333333</v>
      </c>
      <c r="V19" s="3" t="n">
        <f aca="false">AVERAGE(H19/B19,I19/C19,J19/D19,K19/E19,L19/F19,M19/G19)</f>
        <v>0.353918569327377</v>
      </c>
      <c r="W19" s="3" t="n">
        <f aca="false">IF(G19&gt;0,S19/G19,"-")</f>
        <v>0.213513513513514</v>
      </c>
      <c r="X19" s="3" t="n">
        <f aca="false">AVERAGE(N19/B19,O19/C19,P19/D19,Q19/E19,R19/F19,S19/G19)</f>
        <v>0.229215742161406</v>
      </c>
    </row>
    <row r="20" customFormat="false" ht="15" hidden="false" customHeight="false" outlineLevel="0" collapsed="false">
      <c r="A20" s="0" t="s">
        <v>120</v>
      </c>
      <c r="B20" s="2" t="n">
        <v>12000</v>
      </c>
      <c r="C20" s="2" t="n">
        <v>13000</v>
      </c>
      <c r="D20" s="2" t="n">
        <v>16000</v>
      </c>
      <c r="E20" s="2" t="n">
        <v>14500</v>
      </c>
      <c r="F20" s="2" t="n">
        <v>15500</v>
      </c>
      <c r="G20" s="2" t="n">
        <v>18000</v>
      </c>
      <c r="H20" s="2" t="n">
        <v>4200</v>
      </c>
      <c r="I20" s="2" t="n">
        <v>4500</v>
      </c>
      <c r="J20" s="2" t="n">
        <v>5800</v>
      </c>
      <c r="K20" s="2" t="n">
        <v>4800</v>
      </c>
      <c r="L20" s="2" t="n">
        <v>5200</v>
      </c>
      <c r="M20" s="2" t="n">
        <v>6200</v>
      </c>
      <c r="N20" s="2" t="n">
        <v>3200</v>
      </c>
      <c r="O20" s="2" t="n">
        <v>3500</v>
      </c>
      <c r="P20" s="2" t="n">
        <v>4500</v>
      </c>
      <c r="Q20" s="2" t="n">
        <v>3600</v>
      </c>
      <c r="R20" s="2" t="n">
        <v>4000</v>
      </c>
      <c r="S20" s="2" t="n">
        <v>4800</v>
      </c>
      <c r="T20" s="3" t="n">
        <f aca="false">IF(B20&gt;0,(G20/B20)^(1/5)-1,"-")</f>
        <v>0.0844717711976986</v>
      </c>
      <c r="U20" s="3" t="n">
        <f aca="false">IF(G20&gt;0,M20/G20,"-")</f>
        <v>0.344444444444444</v>
      </c>
      <c r="V20" s="3" t="n">
        <f aca="false">AVERAGE(H20/B20,I20/C20,J20/D20,K20/E20,L20/F20,M20/G20)</f>
        <v>0.344936107387442</v>
      </c>
      <c r="W20" s="3" t="n">
        <f aca="false">IF(G20&gt;0,S20/G20,"-")</f>
        <v>0.266666666666667</v>
      </c>
      <c r="X20" s="3" t="n">
        <f aca="false">AVERAGE(N20/B20,O20/C20,P20/D20,Q20/E20,R20/F20,S20/G20)</f>
        <v>0.265025746793683</v>
      </c>
    </row>
    <row r="21" customFormat="false" ht="15" hidden="false" customHeight="false" outlineLevel="0" collapsed="false">
      <c r="A21" s="0" t="s">
        <v>121</v>
      </c>
      <c r="B21" s="2" t="n">
        <v>7000</v>
      </c>
      <c r="C21" s="2" t="n">
        <v>7500</v>
      </c>
      <c r="D21" s="2" t="n">
        <v>9000</v>
      </c>
      <c r="E21" s="2" t="n">
        <v>8200</v>
      </c>
      <c r="F21" s="2" t="n">
        <v>9000</v>
      </c>
      <c r="G21" s="2" t="n">
        <v>10500</v>
      </c>
      <c r="H21" s="2" t="n">
        <v>2100</v>
      </c>
      <c r="I21" s="2" t="n">
        <v>2300</v>
      </c>
      <c r="J21" s="2" t="n">
        <v>2900</v>
      </c>
      <c r="K21" s="2" t="n">
        <v>2500</v>
      </c>
      <c r="L21" s="2" t="n">
        <v>2800</v>
      </c>
      <c r="M21" s="2" t="n">
        <v>3200</v>
      </c>
      <c r="N21" s="2" t="n">
        <v>1600</v>
      </c>
      <c r="O21" s="2" t="n">
        <v>1800</v>
      </c>
      <c r="P21" s="2" t="n">
        <v>2200</v>
      </c>
      <c r="Q21" s="2" t="n">
        <v>1900</v>
      </c>
      <c r="R21" s="2" t="n">
        <v>2100</v>
      </c>
      <c r="S21" s="2" t="n">
        <v>2500</v>
      </c>
      <c r="T21" s="3" t="n">
        <f aca="false">IF(B21&gt;0,(G21/B21)^(1/5)-1,"-")</f>
        <v>0.0844717711976986</v>
      </c>
      <c r="U21" s="3" t="n">
        <f aca="false">IF(G21&gt;0,M21/G21,"-")</f>
        <v>0.304761904761905</v>
      </c>
      <c r="V21" s="3" t="n">
        <f aca="false">AVERAGE(H21/B21,I21/C21,J21/D21,K21/E21,L21/F21,M21/G21)</f>
        <v>0.308273325590399</v>
      </c>
      <c r="W21" s="3" t="n">
        <f aca="false">IF(G21&gt;0,S21/G21,"-")</f>
        <v>0.238095238095238</v>
      </c>
      <c r="X21" s="3" t="n">
        <f aca="false">AVERAGE(N21/B21,O21/C21,P21/D21,Q21/E21,R21/F21,S21/G21)</f>
        <v>0.236025293586269</v>
      </c>
    </row>
    <row r="22" customFormat="false" ht="15" hidden="false" customHeight="false" outlineLevel="0" collapsed="false">
      <c r="A22" s="0" t="s">
        <v>122</v>
      </c>
      <c r="B22" s="2" t="n">
        <v>14700</v>
      </c>
      <c r="C22" s="2" t="n">
        <v>14100</v>
      </c>
      <c r="D22" s="2" t="n">
        <v>16200</v>
      </c>
      <c r="E22" s="2" t="n">
        <v>15800</v>
      </c>
      <c r="F22" s="2" t="n">
        <v>16500</v>
      </c>
      <c r="G22" s="2" t="n">
        <v>17500</v>
      </c>
      <c r="H22" s="2" t="n">
        <v>2200</v>
      </c>
      <c r="I22" s="2" t="n">
        <v>2100</v>
      </c>
      <c r="J22" s="2" t="n">
        <v>2600</v>
      </c>
      <c r="K22" s="2" t="n">
        <v>2400</v>
      </c>
      <c r="L22" s="2" t="n">
        <v>2500</v>
      </c>
      <c r="M22" s="2" t="n">
        <v>2700</v>
      </c>
      <c r="N22" s="2" t="n">
        <v>2488</v>
      </c>
      <c r="O22" s="2" t="n">
        <v>2000</v>
      </c>
      <c r="P22" s="2" t="n">
        <v>2400</v>
      </c>
      <c r="Q22" s="2" t="n">
        <v>2200</v>
      </c>
      <c r="R22" s="2" t="n">
        <v>2488</v>
      </c>
      <c r="S22" s="2" t="n">
        <v>2727</v>
      </c>
      <c r="T22" s="3" t="n">
        <f aca="false">IF(B22&gt;0,(G22/B22)^(1/5)-1,"-")</f>
        <v>0.0354857884559052</v>
      </c>
      <c r="U22" s="3" t="n">
        <f aca="false">IF(G22&gt;0,M22/G22,"-")</f>
        <v>0.154285714285714</v>
      </c>
      <c r="V22" s="3" t="n">
        <f aca="false">AVERAGE(H22/B22,I22/C22,J22/D22,K22/E22,L22/F22,M22/G22)</f>
        <v>0.152798243549486</v>
      </c>
      <c r="W22" s="3" t="n">
        <f aca="false">IF(G22&gt;0,S22/G22,"-")</f>
        <v>0.155828571428571</v>
      </c>
      <c r="X22" s="3" t="n">
        <f aca="false">AVERAGE(N22/B22,O22/C22,P22/D22,Q22/E22,R22/F22,S22/G22)</f>
        <v>0.150850129500865</v>
      </c>
    </row>
    <row r="23" customFormat="false" ht="15" hidden="false" customHeight="false" outlineLevel="0" collapsed="false">
      <c r="A23" s="0" t="s">
        <v>61</v>
      </c>
      <c r="B23" s="2" t="n">
        <v>15000</v>
      </c>
      <c r="C23" s="2" t="n">
        <v>14200</v>
      </c>
      <c r="D23" s="2" t="n">
        <v>15800</v>
      </c>
      <c r="E23" s="2" t="n">
        <v>15200</v>
      </c>
      <c r="F23" s="2" t="n">
        <v>15900</v>
      </c>
      <c r="G23" s="2" t="n">
        <v>16500</v>
      </c>
      <c r="H23" s="2" t="n">
        <v>2100</v>
      </c>
      <c r="I23" s="2" t="n">
        <v>1900</v>
      </c>
      <c r="J23" s="2" t="n">
        <v>2300</v>
      </c>
      <c r="K23" s="2" t="n">
        <v>2200</v>
      </c>
      <c r="L23" s="2" t="n">
        <v>2400</v>
      </c>
      <c r="M23" s="2" t="n">
        <v>2600</v>
      </c>
      <c r="N23" s="2" t="n">
        <v>1500</v>
      </c>
      <c r="O23" s="2" t="n">
        <v>1350</v>
      </c>
      <c r="P23" s="2" t="n">
        <v>1650</v>
      </c>
      <c r="Q23" s="2" t="n">
        <v>1500</v>
      </c>
      <c r="R23" s="2" t="n">
        <v>1600</v>
      </c>
      <c r="S23" s="2" t="n">
        <v>1750</v>
      </c>
      <c r="T23" s="3" t="n">
        <f aca="false">IF(B23&gt;0,(G23/B23)^(1/5)-1,"-")</f>
        <v>0.0192448764914566</v>
      </c>
      <c r="U23" s="3" t="n">
        <f aca="false">IF(G23&gt;0,M23/G23,"-")</f>
        <v>0.157575757575758</v>
      </c>
      <c r="V23" s="3" t="n">
        <f aca="false">AVERAGE(H23/B23,I23/C23,J23/D23,K23/E23,L23/F23,M23/G23)</f>
        <v>0.145438072177001</v>
      </c>
      <c r="W23" s="3" t="n">
        <f aca="false">IF(G23&gt;0,S23/G23,"-")</f>
        <v>0.106060606060606</v>
      </c>
      <c r="X23" s="3" t="n">
        <f aca="false">AVERAGE(N23/B23,O23/C23,P23/D23,Q23/E23,R23/F23,S23/G23)</f>
        <v>0.100812424947763</v>
      </c>
    </row>
    <row r="24" customFormat="false" ht="15" hidden="false" customHeight="false" outlineLevel="0" collapsed="false">
      <c r="A24" s="0" t="s">
        <v>63</v>
      </c>
      <c r="B24" s="2" t="n">
        <v>6800</v>
      </c>
      <c r="C24" s="2" t="n">
        <v>6600</v>
      </c>
      <c r="D24" s="2" t="n">
        <v>7400</v>
      </c>
      <c r="E24" s="2" t="n">
        <v>7200</v>
      </c>
      <c r="F24" s="2" t="n">
        <v>7700</v>
      </c>
      <c r="G24" s="2" t="n">
        <v>8200</v>
      </c>
      <c r="H24" s="2" t="n">
        <v>900</v>
      </c>
      <c r="I24" s="2" t="n">
        <v>850</v>
      </c>
      <c r="J24" s="2" t="n">
        <v>1000</v>
      </c>
      <c r="K24" s="2" t="n">
        <v>980</v>
      </c>
      <c r="L24" s="2" t="n">
        <v>1050</v>
      </c>
      <c r="M24" s="2" t="n">
        <v>1150</v>
      </c>
      <c r="N24" s="2" t="n">
        <v>600</v>
      </c>
      <c r="O24" s="2" t="n">
        <v>550</v>
      </c>
      <c r="P24" s="2" t="n">
        <v>680</v>
      </c>
      <c r="Q24" s="2" t="n">
        <v>650</v>
      </c>
      <c r="R24" s="2" t="n">
        <v>700</v>
      </c>
      <c r="S24" s="2" t="n">
        <v>780</v>
      </c>
      <c r="T24" s="3" t="n">
        <f aca="false">IF(B24&gt;0,(G24/B24)^(1/5)-1,"-")</f>
        <v>0.0381521027165941</v>
      </c>
      <c r="U24" s="3" t="n">
        <f aca="false">IF(G24&gt;0,M24/G24,"-")</f>
        <v>0.140243902439024</v>
      </c>
      <c r="V24" s="3" t="n">
        <f aca="false">AVERAGE(H24/B24,I24/C24,J24/D24,K24/E24,L24/F24,M24/G24)</f>
        <v>0.134832434168876</v>
      </c>
      <c r="W24" s="3" t="n">
        <f aca="false">IF(G24&gt;0,S24/G24,"-")</f>
        <v>0.0951219512195122</v>
      </c>
      <c r="X24" s="3" t="n">
        <f aca="false">AVERAGE(N24/B24,O24/C24,P24/D24,Q24/E24,R24/F24,S24/G24)</f>
        <v>0.0899615565415422</v>
      </c>
    </row>
    <row r="25" customFormat="false" ht="15" hidden="false" customHeight="false" outlineLevel="0" collapsed="false">
      <c r="A25" s="0" t="s">
        <v>60</v>
      </c>
      <c r="B25" s="2" t="n">
        <v>52000</v>
      </c>
      <c r="C25" s="2" t="n">
        <v>47000</v>
      </c>
      <c r="D25" s="2" t="n">
        <v>58000</v>
      </c>
      <c r="E25" s="2" t="n">
        <v>45000</v>
      </c>
      <c r="F25" s="2" t="n">
        <v>53000</v>
      </c>
      <c r="G25" s="2" t="n">
        <v>58000</v>
      </c>
      <c r="H25" s="2" t="n">
        <v>5500</v>
      </c>
      <c r="I25" s="2" t="n">
        <v>4800</v>
      </c>
      <c r="J25" s="2" t="n">
        <v>6200</v>
      </c>
      <c r="K25" s="2" t="n">
        <v>4500</v>
      </c>
      <c r="L25" s="2" t="n">
        <v>5500</v>
      </c>
      <c r="M25" s="2" t="n">
        <v>6000</v>
      </c>
      <c r="N25" s="2" t="n">
        <v>4500</v>
      </c>
      <c r="O25" s="2" t="n">
        <v>3800</v>
      </c>
      <c r="P25" s="2" t="n">
        <v>5200</v>
      </c>
      <c r="Q25" s="2" t="n">
        <v>3500</v>
      </c>
      <c r="R25" s="2" t="n">
        <v>4500</v>
      </c>
      <c r="S25" s="2" t="n">
        <v>5000</v>
      </c>
      <c r="T25" s="3" t="n">
        <f aca="false">IF(B25&gt;0,(G25/B25)^(1/5)-1,"-")</f>
        <v>0.0220800938152379</v>
      </c>
      <c r="U25" s="3" t="n">
        <f aca="false">IF(G25&gt;0,M25/G25,"-")</f>
        <v>0.103448275862069</v>
      </c>
      <c r="V25" s="3" t="n">
        <f aca="false">AVERAGE(H25/B25,I25/C25,J25/D25,K25/E25,L25/F25,M25/G25)</f>
        <v>0.103669217139261</v>
      </c>
      <c r="W25" s="3" t="n">
        <f aca="false">IF(G25&gt;0,S25/G25,"-")</f>
        <v>0.0862068965517241</v>
      </c>
      <c r="X25" s="3" t="n">
        <f aca="false">AVERAGE(N25/B25,O25/C25,P25/D25,Q25/E25,R25/F25,S25/G25)</f>
        <v>0.0843225054148171</v>
      </c>
    </row>
    <row r="26" customFormat="false" ht="15" hidden="false" customHeight="false" outlineLevel="0" collapsed="false">
      <c r="A26" s="0" t="s">
        <v>69</v>
      </c>
      <c r="B26" s="2" t="n">
        <v>70000</v>
      </c>
      <c r="C26" s="2" t="n">
        <v>75000</v>
      </c>
      <c r="D26" s="2" t="n">
        <v>85000</v>
      </c>
      <c r="E26" s="2" t="n">
        <v>82000</v>
      </c>
      <c r="F26" s="2" t="n">
        <v>95000</v>
      </c>
      <c r="G26" s="2" t="n">
        <v>100000</v>
      </c>
      <c r="H26" s="2" t="n">
        <v>4500</v>
      </c>
      <c r="I26" s="2" t="n">
        <v>5000</v>
      </c>
      <c r="J26" s="2" t="n">
        <v>6200</v>
      </c>
      <c r="K26" s="2" t="n">
        <v>5500</v>
      </c>
      <c r="L26" s="2" t="n">
        <v>6500</v>
      </c>
      <c r="M26" s="2" t="n">
        <v>7500</v>
      </c>
      <c r="N26" s="2" t="n">
        <v>3500</v>
      </c>
      <c r="O26" s="2" t="n">
        <v>4000</v>
      </c>
      <c r="P26" s="2" t="n">
        <v>5000</v>
      </c>
      <c r="Q26" s="2" t="n">
        <v>4200</v>
      </c>
      <c r="R26" s="2" t="n">
        <v>5000</v>
      </c>
      <c r="S26" s="2" t="n">
        <v>6000</v>
      </c>
      <c r="T26" s="3" t="n">
        <f aca="false">IF(B26&gt;0,(G26/B26)^(1/5)-1,"-")</f>
        <v>0.0739409237857793</v>
      </c>
      <c r="U26" s="3" t="n">
        <f aca="false">IF(G26&gt;0,M26/G26,"-")</f>
        <v>0.075</v>
      </c>
      <c r="V26" s="3" t="n">
        <f aca="false">AVERAGE(H26/B26,I26/C26,J26/D26,K26/E26,L26/F26,M26/G26)</f>
        <v>0.0690646301310426</v>
      </c>
      <c r="W26" s="3" t="n">
        <f aca="false">IF(G26&gt;0,S26/G26,"-")</f>
        <v>0.06</v>
      </c>
      <c r="X26" s="3" t="n">
        <f aca="false">AVERAGE(N26/B26,O26/C26,P26/D26,Q26/E26,R26/F26,S26/G26)</f>
        <v>0.0543346589812647</v>
      </c>
    </row>
    <row r="27" customFormat="false" ht="15" hidden="false" customHeight="false" outlineLevel="0" collapsed="false">
      <c r="A27" s="0" t="s">
        <v>75</v>
      </c>
      <c r="B27" s="2" t="n">
        <v>12500</v>
      </c>
      <c r="C27" s="2" t="n">
        <v>11800</v>
      </c>
      <c r="D27" s="2" t="n">
        <v>15200</v>
      </c>
      <c r="E27" s="2" t="n">
        <v>16500</v>
      </c>
      <c r="F27" s="2" t="n">
        <v>15000</v>
      </c>
      <c r="G27" s="2" t="n">
        <v>15500</v>
      </c>
      <c r="H27" s="2" t="n">
        <v>4200</v>
      </c>
      <c r="I27" s="2" t="n">
        <v>3800</v>
      </c>
      <c r="J27" s="2" t="n">
        <v>5200</v>
      </c>
      <c r="K27" s="2" t="n">
        <v>5800</v>
      </c>
      <c r="L27" s="2" t="n">
        <v>5000</v>
      </c>
      <c r="M27" s="2" t="n">
        <v>5100</v>
      </c>
      <c r="N27" s="2" t="n">
        <v>2900</v>
      </c>
      <c r="O27" s="2" t="n">
        <v>2700</v>
      </c>
      <c r="P27" s="2" t="n">
        <v>3800</v>
      </c>
      <c r="Q27" s="2" t="n">
        <v>4500</v>
      </c>
      <c r="R27" s="2" t="n">
        <v>3500</v>
      </c>
      <c r="S27" s="2" t="n">
        <v>3600</v>
      </c>
      <c r="T27" s="3" t="n">
        <f aca="false">IF(B27&gt;0,(G27/B27)^(1/5)-1,"-")</f>
        <v>0.0439611497901928</v>
      </c>
      <c r="U27" s="3" t="n">
        <f aca="false">IF(G27&gt;0,M27/G27,"-")</f>
        <v>0.329032258064516</v>
      </c>
      <c r="V27" s="3" t="n">
        <f aca="false">AVERAGE(H27/B27,I27/C27,J27/D27,K27/E27,L27/F27,M27/G27)</f>
        <v>0.335669984062663</v>
      </c>
      <c r="W27" s="3" t="n">
        <f aca="false">IF(G27&gt;0,S27/G27,"-")</f>
        <v>0.232258064516129</v>
      </c>
      <c r="X27" s="3" t="n">
        <f aca="false">AVERAGE(N27/B27,O27/C27,P27/D27,Q27/E27,R27/F27,S27/G27)</f>
        <v>0.241522038316462</v>
      </c>
    </row>
    <row r="28" customFormat="false" ht="15" hidden="false" customHeight="false" outlineLevel="0" collapsed="false">
      <c r="A28" s="0" t="s">
        <v>57</v>
      </c>
      <c r="B28" s="2" t="n">
        <v>15500</v>
      </c>
      <c r="C28" s="2" t="n">
        <v>15000</v>
      </c>
      <c r="D28" s="2" t="n">
        <v>17000</v>
      </c>
      <c r="E28" s="2" t="n">
        <v>14500</v>
      </c>
      <c r="F28" s="2" t="n">
        <v>16000</v>
      </c>
      <c r="G28" s="2" t="n">
        <v>17000</v>
      </c>
      <c r="H28" s="2" t="n">
        <v>2800</v>
      </c>
      <c r="I28" s="2" t="n">
        <v>2600</v>
      </c>
      <c r="J28" s="2" t="n">
        <v>3200</v>
      </c>
      <c r="K28" s="2" t="n">
        <v>2200</v>
      </c>
      <c r="L28" s="2" t="n">
        <v>2800</v>
      </c>
      <c r="M28" s="2" t="n">
        <v>3000</v>
      </c>
      <c r="N28" s="2" t="n">
        <v>2200</v>
      </c>
      <c r="O28" s="2" t="n">
        <v>2000</v>
      </c>
      <c r="P28" s="2" t="n">
        <v>2500</v>
      </c>
      <c r="Q28" s="2" t="n">
        <v>1700</v>
      </c>
      <c r="R28" s="2" t="n">
        <v>2200</v>
      </c>
      <c r="S28" s="2" t="n">
        <v>2400</v>
      </c>
      <c r="T28" s="3" t="n">
        <f aca="false">IF(B28&gt;0,(G28/B28)^(1/5)-1,"-")</f>
        <v>0.0186463764447298</v>
      </c>
      <c r="U28" s="3" t="n">
        <f aca="false">IF(G28&gt;0,M28/G28,"-")</f>
        <v>0.176470588235294</v>
      </c>
      <c r="V28" s="3" t="n">
        <f aca="false">AVERAGE(H28/B28,I28/C28,J28/D28,K28/E28,L28/F28,M28/G28)</f>
        <v>0.174234752484605</v>
      </c>
      <c r="W28" s="3" t="n">
        <f aca="false">IF(G28&gt;0,S28/G28,"-")</f>
        <v>0.141176470588235</v>
      </c>
      <c r="X28" s="3" t="n">
        <f aca="false">AVERAGE(N28/B28,O28/C28,P28/D28,Q28/E28,R28/F28,S28/G28)</f>
        <v>0.136374248438716</v>
      </c>
    </row>
    <row r="29" customFormat="false" ht="15" hidden="false" customHeight="false" outlineLevel="0" collapsed="false">
      <c r="A29" s="0" t="s">
        <v>58</v>
      </c>
      <c r="B29" s="2" t="n">
        <v>2600</v>
      </c>
      <c r="C29" s="2" t="n">
        <v>2450</v>
      </c>
      <c r="D29" s="2" t="n">
        <v>2900</v>
      </c>
      <c r="E29" s="2" t="n">
        <v>2200</v>
      </c>
      <c r="F29" s="2" t="n">
        <v>2500</v>
      </c>
      <c r="G29" s="2" t="n">
        <v>2700</v>
      </c>
      <c r="H29" s="2" t="n">
        <v>550</v>
      </c>
      <c r="I29" s="2" t="n">
        <v>480</v>
      </c>
      <c r="J29" s="2" t="n">
        <v>620</v>
      </c>
      <c r="K29" s="2" t="n">
        <v>350</v>
      </c>
      <c r="L29" s="2" t="n">
        <v>480</v>
      </c>
      <c r="M29" s="2" t="n">
        <v>520</v>
      </c>
      <c r="N29" s="2" t="n">
        <v>400</v>
      </c>
      <c r="O29" s="2" t="n">
        <v>350</v>
      </c>
      <c r="P29" s="2" t="n">
        <v>480</v>
      </c>
      <c r="Q29" s="2" t="n">
        <v>250</v>
      </c>
      <c r="R29" s="2" t="n">
        <v>360</v>
      </c>
      <c r="S29" s="2" t="n">
        <v>400</v>
      </c>
      <c r="T29" s="3" t="n">
        <f aca="false">IF(B29&gt;0,(G29/B29)^(1/5)-1,"-")</f>
        <v>0.00757662405217419</v>
      </c>
      <c r="U29" s="3" t="n">
        <f aca="false">IF(G29&gt;0,M29/G29,"-")</f>
        <v>0.192592592592593</v>
      </c>
      <c r="V29" s="3" t="n">
        <f aca="false">AVERAGE(H29/B29,I29/C29,J29/D29,K29/E29,L29/F29,M29/G29)</f>
        <v>0.194155572336196</v>
      </c>
      <c r="W29" s="3" t="n">
        <f aca="false">IF(G29&gt;0,S29/G29,"-")</f>
        <v>0.148148148148148</v>
      </c>
      <c r="X29" s="3" t="n">
        <f aca="false">AVERAGE(N29/B29,O29/C29,P29/D29,Q29/E29,R29/F29,S29/G29)</f>
        <v>0.144667508311186</v>
      </c>
    </row>
    <row r="30" customFormat="false" ht="15" hidden="false" customHeight="false" outlineLevel="0" collapsed="false">
      <c r="A30" s="0" t="s">
        <v>35</v>
      </c>
      <c r="B30" s="2" t="n">
        <v>125</v>
      </c>
      <c r="C30" s="2" t="n">
        <v>150</v>
      </c>
      <c r="D30" s="2" t="n">
        <v>240</v>
      </c>
      <c r="E30" s="2" t="n">
        <v>210</v>
      </c>
      <c r="F30" s="2" t="n">
        <v>200</v>
      </c>
      <c r="G30" s="2" t="n">
        <v>180</v>
      </c>
      <c r="H30" s="2" t="n">
        <v>45</v>
      </c>
      <c r="I30" s="2" t="n">
        <v>55</v>
      </c>
      <c r="J30" s="2" t="n">
        <v>95</v>
      </c>
      <c r="K30" s="2" t="n">
        <v>75</v>
      </c>
      <c r="L30" s="2" t="n">
        <v>65</v>
      </c>
      <c r="M30" s="2" t="n">
        <v>50</v>
      </c>
      <c r="N30" s="2" t="n">
        <v>35</v>
      </c>
      <c r="O30" s="2" t="n">
        <v>42</v>
      </c>
      <c r="P30" s="2" t="n">
        <v>75</v>
      </c>
      <c r="Q30" s="2" t="n">
        <v>55</v>
      </c>
      <c r="R30" s="2" t="n">
        <v>48</v>
      </c>
      <c r="S30" s="2" t="n">
        <v>38</v>
      </c>
      <c r="T30" s="3" t="n">
        <f aca="false">IF(B30&gt;0,(G30/B30)^(1/5)-1,"-")</f>
        <v>0.0756537569325702</v>
      </c>
      <c r="U30" s="3" t="n">
        <f aca="false">IF(G30&gt;0,M30/G30,"-")</f>
        <v>0.277777777777778</v>
      </c>
      <c r="V30" s="3" t="n">
        <f aca="false">AVERAGE(H30/B30,I30/C30,J30/D30,K30/E30,L30/F30,M30/G30)</f>
        <v>0.347070105820106</v>
      </c>
      <c r="W30" s="3" t="n">
        <f aca="false">IF(G30&gt;0,S30/G30,"-")</f>
        <v>0.211111111111111</v>
      </c>
      <c r="X30" s="3" t="n">
        <f aca="false">AVERAGE(N30/B30,O30/C30,P30/D30,Q30/E30,R30/F30,S30/G30)</f>
        <v>0.264252645502646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8" min="3" style="0" width="15"/>
  </cols>
  <sheetData>
    <row r="1" customFormat="false" ht="28.35" hidden="false" customHeight="false" outlineLevel="0" collapsed="false">
      <c r="A1" s="1" t="s">
        <v>0</v>
      </c>
      <c r="B1" s="1" t="s">
        <v>123</v>
      </c>
      <c r="C1" s="1" t="s">
        <v>124</v>
      </c>
      <c r="D1" s="1" t="s">
        <v>125</v>
      </c>
      <c r="E1" s="1" t="s">
        <v>7</v>
      </c>
      <c r="F1" s="1" t="s">
        <v>126</v>
      </c>
      <c r="G1" s="1" t="s">
        <v>127</v>
      </c>
      <c r="H1" s="1" t="s">
        <v>128</v>
      </c>
    </row>
    <row r="2" customFormat="false" ht="15" hidden="false" customHeight="false" outlineLevel="0" collapsed="false">
      <c r="A2" s="0" t="s">
        <v>11</v>
      </c>
      <c r="B2" s="2" t="n">
        <v>42000</v>
      </c>
      <c r="C2" s="6" t="n">
        <v>15.2</v>
      </c>
      <c r="D2" s="6" t="n">
        <v>14.5</v>
      </c>
      <c r="E2" s="2" t="n">
        <v>11553</v>
      </c>
      <c r="F2" s="6" t="n">
        <v>17.7</v>
      </c>
      <c r="G2" s="6" t="n">
        <v>100</v>
      </c>
      <c r="H2" s="5" t="s">
        <v>129</v>
      </c>
    </row>
    <row r="3" customFormat="false" ht="15" hidden="false" customHeight="false" outlineLevel="0" collapsed="false">
      <c r="A3" s="0" t="s">
        <v>119</v>
      </c>
      <c r="B3" s="2" t="n">
        <v>22000</v>
      </c>
      <c r="C3" s="6" t="n">
        <v>10.7</v>
      </c>
      <c r="D3" s="6" t="n">
        <v>11.2</v>
      </c>
      <c r="E3" s="2" t="n">
        <v>4700</v>
      </c>
      <c r="F3" s="6" t="n">
        <v>49</v>
      </c>
      <c r="G3" s="6" t="n">
        <v>100</v>
      </c>
      <c r="H3" s="5" t="s">
        <v>129</v>
      </c>
    </row>
    <row r="4" customFormat="false" ht="15" hidden="false" customHeight="false" outlineLevel="0" collapsed="false">
      <c r="A4" s="0" t="s">
        <v>20</v>
      </c>
      <c r="B4" s="2" t="n">
        <v>9800</v>
      </c>
      <c r="C4" s="6" t="n">
        <v>20.9</v>
      </c>
      <c r="D4" s="6" t="n">
        <v>24.5</v>
      </c>
      <c r="E4" s="2" t="n">
        <v>1607</v>
      </c>
      <c r="F4" s="6" t="n">
        <v>44.1</v>
      </c>
      <c r="G4" s="6" t="n">
        <v>100</v>
      </c>
      <c r="H4" s="5" t="s">
        <v>129</v>
      </c>
    </row>
    <row r="5" customFormat="false" ht="15" hidden="false" customHeight="false" outlineLevel="0" collapsed="false">
      <c r="A5" s="0" t="s">
        <v>22</v>
      </c>
      <c r="B5" s="2" t="n">
        <v>5700</v>
      </c>
      <c r="C5" s="6" t="n">
        <v>7</v>
      </c>
      <c r="D5" s="6" t="n">
        <v>8.5</v>
      </c>
      <c r="E5" s="2" t="n">
        <v>1800</v>
      </c>
      <c r="F5" s="6" t="n">
        <v>33.9</v>
      </c>
      <c r="G5" s="6" t="n">
        <v>100</v>
      </c>
      <c r="H5" s="5" t="s">
        <v>129</v>
      </c>
    </row>
    <row r="6" customFormat="false" ht="15" hidden="false" customHeight="false" outlineLevel="0" collapsed="false">
      <c r="A6" s="0" t="s">
        <v>21</v>
      </c>
      <c r="B6" s="2" t="n">
        <v>11000</v>
      </c>
      <c r="C6" s="6" t="n">
        <v>11.4</v>
      </c>
      <c r="D6" s="6" t="n">
        <v>10.8</v>
      </c>
      <c r="E6" s="2" t="n">
        <v>1650</v>
      </c>
      <c r="F6" s="6" t="n">
        <v>49.7</v>
      </c>
      <c r="G6" s="6" t="n">
        <v>100</v>
      </c>
      <c r="H6" s="5" t="s">
        <v>129</v>
      </c>
    </row>
    <row r="7" customFormat="false" ht="15" hidden="false" customHeight="false" outlineLevel="0" collapsed="false">
      <c r="A7" s="0" t="s">
        <v>30</v>
      </c>
      <c r="B7" s="2" t="n">
        <v>4500</v>
      </c>
      <c r="C7" s="6" t="n">
        <v>14.7</v>
      </c>
      <c r="D7" s="6" t="n">
        <v>15</v>
      </c>
      <c r="E7" s="2" t="n">
        <v>980</v>
      </c>
      <c r="F7" s="6" t="n">
        <v>34.7</v>
      </c>
      <c r="G7" s="6" t="n">
        <v>100</v>
      </c>
      <c r="H7" s="5" t="s">
        <v>129</v>
      </c>
    </row>
    <row r="8" customFormat="false" ht="15" hidden="false" customHeight="false" outlineLevel="0" collapsed="false">
      <c r="A8" s="0" t="s">
        <v>23</v>
      </c>
      <c r="B8" s="2" t="n">
        <v>2800</v>
      </c>
      <c r="C8" s="6" t="n">
        <v>17.1</v>
      </c>
      <c r="D8" s="6" t="n">
        <v>16</v>
      </c>
      <c r="E8" s="2" t="n">
        <v>800</v>
      </c>
      <c r="F8" s="6" t="n">
        <v>53.8</v>
      </c>
      <c r="G8" s="6" t="n">
        <v>100</v>
      </c>
      <c r="H8" s="5" t="s">
        <v>129</v>
      </c>
    </row>
    <row r="9" customFormat="false" ht="15" hidden="false" customHeight="false" outlineLevel="0" collapsed="false">
      <c r="A9" s="0" t="s">
        <v>67</v>
      </c>
      <c r="B9" s="2" t="n">
        <v>16000</v>
      </c>
      <c r="C9" s="6" t="n">
        <v>26.3</v>
      </c>
      <c r="D9" s="6" t="n">
        <v>28</v>
      </c>
      <c r="E9" s="2" t="n">
        <v>1270</v>
      </c>
      <c r="F9" s="6" t="n">
        <v>90.2</v>
      </c>
      <c r="G9" s="6" t="n">
        <v>80</v>
      </c>
      <c r="H9" s="5" t="s">
        <v>130</v>
      </c>
    </row>
    <row r="10" customFormat="false" ht="15" hidden="false" customHeight="false" outlineLevel="0" collapsed="false">
      <c r="A10" s="0" t="s">
        <v>70</v>
      </c>
      <c r="B10" s="2" t="n">
        <v>45000</v>
      </c>
      <c r="C10" s="6" t="n">
        <v>10.1</v>
      </c>
      <c r="D10" s="6" t="n">
        <v>12.5</v>
      </c>
      <c r="E10" s="2" t="n">
        <v>638</v>
      </c>
      <c r="F10" s="6" t="n">
        <v>136.4</v>
      </c>
      <c r="G10" s="6" t="n">
        <v>72</v>
      </c>
      <c r="H10" s="5" t="s">
        <v>130</v>
      </c>
    </row>
    <row r="11" customFormat="false" ht="15" hidden="false" customHeight="false" outlineLevel="0" collapsed="false">
      <c r="A11" s="0" t="s">
        <v>71</v>
      </c>
      <c r="B11" s="2" t="n">
        <v>20000</v>
      </c>
      <c r="C11" s="6" t="n">
        <v>19</v>
      </c>
      <c r="D11" s="6" t="n">
        <v>18.5</v>
      </c>
      <c r="E11" s="2" t="n">
        <v>785</v>
      </c>
      <c r="F11" s="6" t="n">
        <v>337.6</v>
      </c>
      <c r="G11" s="6" t="n">
        <v>65</v>
      </c>
      <c r="H11" s="5" t="s">
        <v>130</v>
      </c>
    </row>
    <row r="12" customFormat="false" ht="15" hidden="false" customHeight="false" outlineLevel="0" collapsed="false">
      <c r="A12" s="0" t="s">
        <v>72</v>
      </c>
      <c r="B12" s="2" t="n">
        <v>6500</v>
      </c>
      <c r="C12" s="6" t="n">
        <v>11.5</v>
      </c>
      <c r="D12" s="6" t="n">
        <v>11</v>
      </c>
      <c r="E12" s="2" t="n">
        <v>441</v>
      </c>
      <c r="F12" s="6" t="n">
        <v>88.4</v>
      </c>
      <c r="G12" s="6" t="n">
        <v>74</v>
      </c>
      <c r="H12" s="5" t="s">
        <v>130</v>
      </c>
    </row>
    <row r="13" customFormat="false" ht="15" hidden="false" customHeight="false" outlineLevel="0" collapsed="false">
      <c r="A13" s="0" t="s">
        <v>73</v>
      </c>
      <c r="B13" s="2" t="n">
        <v>5500</v>
      </c>
      <c r="C13" s="6" t="n">
        <v>18.2</v>
      </c>
      <c r="D13" s="6" t="n">
        <v>16</v>
      </c>
      <c r="E13" s="2" t="n">
        <v>450</v>
      </c>
      <c r="F13" s="6" t="n">
        <v>93.3</v>
      </c>
      <c r="G13" s="6" t="n">
        <v>78</v>
      </c>
      <c r="H13" s="5" t="s">
        <v>130</v>
      </c>
    </row>
    <row r="14" customFormat="false" ht="15" hidden="false" customHeight="false" outlineLevel="0" collapsed="false">
      <c r="A14" s="0" t="s">
        <v>47</v>
      </c>
      <c r="B14" s="2" t="n">
        <v>8000</v>
      </c>
      <c r="C14" s="6" t="n">
        <v>13.8</v>
      </c>
      <c r="D14" s="6" t="n">
        <v>13</v>
      </c>
      <c r="E14" s="2" t="n">
        <v>2267</v>
      </c>
      <c r="F14" s="6" t="n">
        <v>15.4</v>
      </c>
      <c r="G14" s="6" t="n">
        <v>100</v>
      </c>
      <c r="H14" s="5" t="s">
        <v>129</v>
      </c>
    </row>
    <row r="15" customFormat="false" ht="15" hidden="false" customHeight="false" outlineLevel="0" collapsed="false">
      <c r="A15" s="0" t="s">
        <v>25</v>
      </c>
      <c r="B15" s="2" t="n">
        <v>3200</v>
      </c>
      <c r="C15" s="6" t="n">
        <v>13.8</v>
      </c>
      <c r="D15" s="6" t="n">
        <v>12.5</v>
      </c>
      <c r="E15" s="2" t="n">
        <v>800</v>
      </c>
      <c r="F15" s="6" t="n">
        <v>21.3</v>
      </c>
      <c r="G15" s="6" t="n">
        <v>100</v>
      </c>
      <c r="H15" s="5" t="s">
        <v>129</v>
      </c>
    </row>
    <row r="16" customFormat="false" ht="15" hidden="false" customHeight="false" outlineLevel="0" collapsed="false">
      <c r="A16" s="0" t="s">
        <v>66</v>
      </c>
      <c r="B16" s="2" t="n">
        <v>7500</v>
      </c>
      <c r="C16" s="6" t="n">
        <v>34.7</v>
      </c>
      <c r="D16" s="6" t="n">
        <v>30</v>
      </c>
      <c r="E16" s="2" t="n">
        <v>850</v>
      </c>
      <c r="F16" s="6" t="n">
        <v>205.9</v>
      </c>
      <c r="G16" s="6" t="n">
        <v>55</v>
      </c>
      <c r="H16" s="5" t="s">
        <v>131</v>
      </c>
    </row>
    <row r="17" customFormat="false" ht="15" hidden="false" customHeight="false" outlineLevel="0" collapsed="false">
      <c r="A17" s="0" t="s">
        <v>31</v>
      </c>
      <c r="B17" s="2" t="n">
        <v>2500</v>
      </c>
      <c r="C17" s="6" t="n">
        <v>14</v>
      </c>
      <c r="D17" s="6" t="n">
        <v>15</v>
      </c>
      <c r="E17" s="2" t="n">
        <v>226</v>
      </c>
      <c r="F17" s="6" t="n">
        <v>135</v>
      </c>
      <c r="G17" s="6" t="n">
        <v>100</v>
      </c>
      <c r="H17" s="5" t="s">
        <v>129</v>
      </c>
    </row>
    <row r="18" customFormat="false" ht="15" hidden="false" customHeight="false" outlineLevel="0" collapsed="false">
      <c r="A18" s="0" t="s">
        <v>32</v>
      </c>
      <c r="B18" s="2" t="n">
        <v>3500</v>
      </c>
      <c r="C18" s="6" t="n">
        <v>12.6</v>
      </c>
      <c r="D18" s="6" t="n">
        <v>13.5</v>
      </c>
      <c r="E18" s="2" t="n">
        <v>700</v>
      </c>
      <c r="F18" s="6" t="n">
        <v>29.1</v>
      </c>
      <c r="G18" s="6" t="n">
        <v>100</v>
      </c>
      <c r="H18" s="5" t="s">
        <v>129</v>
      </c>
    </row>
    <row r="19" customFormat="false" ht="15" hidden="false" customHeight="false" outlineLevel="0" collapsed="false">
      <c r="A19" s="0" t="s">
        <v>34</v>
      </c>
      <c r="B19" s="2" t="n">
        <v>800</v>
      </c>
      <c r="C19" s="6" t="n">
        <v>29.6</v>
      </c>
      <c r="D19" s="6" t="n">
        <v>32</v>
      </c>
      <c r="E19" s="2" t="n">
        <v>161</v>
      </c>
      <c r="F19" s="6" t="n">
        <v>69</v>
      </c>
      <c r="G19" s="6" t="n">
        <v>100</v>
      </c>
      <c r="H19" s="5" t="s">
        <v>129</v>
      </c>
    </row>
    <row r="20" customFormat="false" ht="15" hidden="false" customHeight="false" outlineLevel="0" collapsed="false">
      <c r="A20" s="0" t="s">
        <v>122</v>
      </c>
      <c r="B20" s="2" t="n">
        <v>35000</v>
      </c>
      <c r="C20" s="6" t="n">
        <v>7.8</v>
      </c>
      <c r="D20" s="6" t="n">
        <v>8.5</v>
      </c>
      <c r="E20" s="2" t="n">
        <v>1375</v>
      </c>
      <c r="F20" s="6" t="n">
        <v>127.3</v>
      </c>
      <c r="G20" s="6" t="n">
        <v>85</v>
      </c>
      <c r="H20" s="5" t="s">
        <v>129</v>
      </c>
    </row>
    <row r="21" customFormat="false" ht="15" hidden="false" customHeight="false" outlineLevel="0" collapsed="false">
      <c r="A21" s="0" t="s">
        <v>61</v>
      </c>
      <c r="B21" s="2" t="n">
        <v>8500</v>
      </c>
      <c r="C21" s="6" t="n">
        <v>20.6</v>
      </c>
      <c r="D21" s="6" t="n">
        <v>22</v>
      </c>
      <c r="E21" s="2" t="n">
        <v>712</v>
      </c>
      <c r="F21" s="6" t="n">
        <v>231.7</v>
      </c>
      <c r="G21" s="6" t="n">
        <v>60</v>
      </c>
      <c r="H21" s="5" t="s">
        <v>131</v>
      </c>
    </row>
    <row r="22" customFormat="false" ht="15" hidden="false" customHeight="false" outlineLevel="0" collapsed="false">
      <c r="A22" s="0" t="s">
        <v>63</v>
      </c>
      <c r="B22" s="2" t="n">
        <v>4500</v>
      </c>
      <c r="C22" s="6" t="n">
        <v>17.3</v>
      </c>
      <c r="D22" s="6" t="n">
        <v>16.5</v>
      </c>
      <c r="E22" s="2" t="n">
        <v>366</v>
      </c>
      <c r="F22" s="6" t="n">
        <v>224</v>
      </c>
      <c r="G22" s="6" t="n">
        <v>70</v>
      </c>
      <c r="H22" s="5" t="s">
        <v>131</v>
      </c>
    </row>
    <row r="23" customFormat="false" ht="15" hidden="false" customHeight="false" outlineLevel="0" collapsed="false">
      <c r="A23" s="0" t="s">
        <v>40</v>
      </c>
      <c r="B23" s="2" t="n">
        <v>80000</v>
      </c>
      <c r="C23" s="6" t="n">
        <v>26</v>
      </c>
      <c r="D23" s="6" t="n">
        <v>25</v>
      </c>
      <c r="E23" s="2" t="n">
        <v>850</v>
      </c>
      <c r="F23" s="6" t="n">
        <v>211.8</v>
      </c>
      <c r="G23" s="6" t="n">
        <v>65</v>
      </c>
      <c r="H23" s="5" t="s">
        <v>129</v>
      </c>
    </row>
    <row r="24" customFormat="false" ht="15" hidden="false" customHeight="false" outlineLevel="0" collapsed="false">
      <c r="A24" s="0" t="s">
        <v>132</v>
      </c>
      <c r="B24" s="2" t="n">
        <v>42000</v>
      </c>
      <c r="C24" s="6" t="n">
        <v>23.8</v>
      </c>
      <c r="D24" s="6" t="n">
        <v>24</v>
      </c>
      <c r="E24" s="2" t="n">
        <v>3100</v>
      </c>
      <c r="F24" s="6" t="n">
        <v>33.9</v>
      </c>
      <c r="G24" s="6" t="n">
        <v>75</v>
      </c>
      <c r="H24" s="5" t="s">
        <v>129</v>
      </c>
    </row>
    <row r="25" customFormat="false" ht="15" hidden="false" customHeight="false" outlineLevel="0" collapsed="false">
      <c r="A25" s="0" t="s">
        <v>60</v>
      </c>
      <c r="B25" s="2" t="n">
        <v>45000</v>
      </c>
      <c r="C25" s="6" t="n">
        <v>11.1</v>
      </c>
      <c r="D25" s="6" t="n">
        <v>10.5</v>
      </c>
      <c r="E25" s="2" t="n">
        <v>920</v>
      </c>
      <c r="F25" s="6" t="n">
        <v>630.4</v>
      </c>
      <c r="G25" s="6" t="n">
        <v>45</v>
      </c>
      <c r="H25" s="5" t="s">
        <v>131</v>
      </c>
    </row>
    <row r="26" customFormat="false" ht="15" hidden="false" customHeight="false" outlineLevel="0" collapsed="false">
      <c r="A26" s="0" t="s">
        <v>69</v>
      </c>
      <c r="B26" s="2" t="n">
        <v>60000</v>
      </c>
      <c r="C26" s="6" t="n">
        <v>7.5</v>
      </c>
      <c r="D26" s="6" t="n">
        <v>8</v>
      </c>
      <c r="E26" s="2" t="n">
        <v>1061</v>
      </c>
      <c r="F26" s="6" t="n">
        <v>942.5</v>
      </c>
      <c r="G26" s="6" t="n">
        <v>50</v>
      </c>
      <c r="H26" s="5" t="s">
        <v>130</v>
      </c>
    </row>
    <row r="27" customFormat="false" ht="15" hidden="false" customHeight="false" outlineLevel="0" collapsed="false">
      <c r="A27" s="0" t="s">
        <v>75</v>
      </c>
      <c r="B27" s="2" t="n">
        <v>18000</v>
      </c>
      <c r="C27" s="6" t="n">
        <v>20</v>
      </c>
      <c r="D27" s="6" t="n">
        <v>22</v>
      </c>
      <c r="E27" s="2" t="n">
        <v>588</v>
      </c>
      <c r="F27" s="6" t="n">
        <v>263.6</v>
      </c>
      <c r="G27" s="6" t="n">
        <v>55</v>
      </c>
      <c r="H27" s="5" t="s">
        <v>129</v>
      </c>
    </row>
    <row r="28" customFormat="false" ht="15" hidden="false" customHeight="false" outlineLevel="0" collapsed="false">
      <c r="A28" s="0" t="s">
        <v>57</v>
      </c>
      <c r="B28" s="2" t="n">
        <v>12000</v>
      </c>
      <c r="C28" s="6" t="n">
        <v>17.6</v>
      </c>
      <c r="D28" s="6" t="n">
        <v>18</v>
      </c>
      <c r="E28" s="2" t="n">
        <v>2000</v>
      </c>
      <c r="F28" s="6" t="n">
        <v>85</v>
      </c>
      <c r="G28" s="6" t="n">
        <v>95</v>
      </c>
      <c r="H28" s="5" t="s">
        <v>129</v>
      </c>
    </row>
    <row r="29" customFormat="false" ht="15" hidden="false" customHeight="false" outlineLevel="0" collapsed="false">
      <c r="A29" s="0" t="s">
        <v>58</v>
      </c>
      <c r="B29" s="2" t="n">
        <v>3500</v>
      </c>
      <c r="C29" s="6" t="n">
        <v>11.5</v>
      </c>
      <c r="D29" s="6" t="n">
        <v>12</v>
      </c>
      <c r="E29" s="2" t="n">
        <v>450</v>
      </c>
      <c r="F29" s="6" t="n">
        <v>60</v>
      </c>
      <c r="G29" s="6" t="n">
        <v>95</v>
      </c>
      <c r="H29" s="5" t="s">
        <v>129</v>
      </c>
    </row>
    <row r="30" customFormat="false" ht="15" hidden="false" customHeight="false" outlineLevel="0" collapsed="false">
      <c r="A30" s="0" t="s">
        <v>35</v>
      </c>
      <c r="B30" s="2" t="n">
        <v>180</v>
      </c>
      <c r="C30" s="6" t="n">
        <v>21.1</v>
      </c>
      <c r="D30" s="6" t="n">
        <v>28</v>
      </c>
      <c r="E30" s="2" t="n">
        <v>22</v>
      </c>
      <c r="F30" s="6" t="n">
        <v>81.8</v>
      </c>
      <c r="G30" s="6" t="n">
        <v>100</v>
      </c>
      <c r="H30" s="5" t="s">
        <v>129</v>
      </c>
    </row>
    <row r="32" customFormat="false" ht="15" hidden="false" customHeight="false" outlineLevel="0" collapsed="false">
      <c r="A32" s="7" t="s">
        <v>133</v>
      </c>
    </row>
    <row r="33" customFormat="false" ht="15" hidden="false" customHeight="false" outlineLevel="0" collapsed="false">
      <c r="A33" s="7" t="s">
        <v>134</v>
      </c>
      <c r="B33" s="5" t="s">
        <v>135</v>
      </c>
    </row>
    <row r="34" customFormat="false" ht="15" hidden="false" customHeight="false" outlineLevel="0" collapsed="false">
      <c r="A34" s="7" t="s">
        <v>136</v>
      </c>
      <c r="B34" s="5" t="s">
        <v>137</v>
      </c>
    </row>
    <row r="35" customFormat="false" ht="15" hidden="false" customHeight="false" outlineLevel="0" collapsed="false">
      <c r="A35" s="7" t="s">
        <v>127</v>
      </c>
      <c r="B35" s="5" t="s">
        <v>138</v>
      </c>
    </row>
    <row r="36" customFormat="false" ht="15" hidden="false" customHeight="false" outlineLevel="0" collapsed="false">
      <c r="A36" s="7" t="s">
        <v>139</v>
      </c>
      <c r="B36" s="5" t="s">
        <v>140</v>
      </c>
    </row>
    <row r="37" customFormat="false" ht="15" hidden="false" customHeight="false" outlineLevel="0" collapsed="false">
      <c r="A37" s="7" t="s">
        <v>141</v>
      </c>
      <c r="B37" s="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8" min="3" style="0" width="18"/>
  </cols>
  <sheetData>
    <row r="1" customFormat="false" ht="28.35" hidden="false" customHeight="false" outlineLevel="0" collapsed="false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customFormat="false" ht="15" hidden="false" customHeight="false" outlineLevel="0" collapsed="false">
      <c r="A2" s="0" t="s">
        <v>11</v>
      </c>
      <c r="B2" s="0" t="s">
        <v>150</v>
      </c>
      <c r="C2" s="8" t="n">
        <v>502</v>
      </c>
      <c r="D2" s="8" t="n">
        <v>1010</v>
      </c>
      <c r="E2" s="6" t="n">
        <v>18.5</v>
      </c>
      <c r="F2" s="6" t="n">
        <v>2.1</v>
      </c>
      <c r="G2" s="8" t="n">
        <v>152</v>
      </c>
      <c r="H2" s="3" t="n">
        <f aca="false">IF(AND(C2&gt;0,D2&gt;0),(D2/C2)^(1/5)-1,"-")</f>
        <v>0.15006803101378</v>
      </c>
    </row>
    <row r="3" customFormat="false" ht="15" hidden="false" customHeight="false" outlineLevel="0" collapsed="false">
      <c r="A3" s="0" t="s">
        <v>151</v>
      </c>
      <c r="B3" s="0" t="s">
        <v>152</v>
      </c>
      <c r="C3" s="8" t="n">
        <v>79</v>
      </c>
      <c r="D3" s="8" t="n">
        <v>89</v>
      </c>
      <c r="E3" s="6" t="n">
        <v>5.2</v>
      </c>
      <c r="F3" s="6" t="n">
        <v>3.5</v>
      </c>
      <c r="G3" s="8" t="n">
        <v>30</v>
      </c>
      <c r="H3" s="3" t="n">
        <f aca="false">IF(AND(C3&gt;0,D3&gt;0),(D3/C3)^(1/5)-1,"-")</f>
        <v>0.0241240925981869</v>
      </c>
    </row>
    <row r="4" customFormat="false" ht="15" hidden="false" customHeight="false" outlineLevel="0" collapsed="false">
      <c r="A4" s="0" t="s">
        <v>20</v>
      </c>
      <c r="B4" s="0" t="s">
        <v>153</v>
      </c>
      <c r="C4" s="8" t="n">
        <v>122</v>
      </c>
      <c r="D4" s="8" t="n">
        <v>106</v>
      </c>
      <c r="E4" s="6" t="n">
        <v>2.5</v>
      </c>
      <c r="F4" s="6" t="n">
        <v>4.4</v>
      </c>
      <c r="G4" s="8" t="n">
        <v>24</v>
      </c>
      <c r="H4" s="3" t="n">
        <f aca="false">IF(AND(C4&gt;0,D4&gt;0),(D4/C4)^(1/5)-1,"-")</f>
        <v>-0.0277248030155203</v>
      </c>
    </row>
    <row r="5" customFormat="false" ht="15" hidden="false" customHeight="false" outlineLevel="0" collapsed="false">
      <c r="A5" s="0" t="s">
        <v>22</v>
      </c>
      <c r="B5" s="0" t="s">
        <v>154</v>
      </c>
      <c r="C5" s="8" t="n">
        <v>18</v>
      </c>
      <c r="D5" s="8" t="n">
        <v>16</v>
      </c>
      <c r="E5" s="6" t="n">
        <v>1.8</v>
      </c>
      <c r="F5" s="6" t="n">
        <v>5.8</v>
      </c>
      <c r="G5" s="8" t="n">
        <v>7</v>
      </c>
      <c r="H5" s="3" t="n">
        <f aca="false">IF(AND(C5&gt;0,D5&gt;0),(D5/C5)^(1/5)-1,"-")</f>
        <v>-0.0232813161388261</v>
      </c>
    </row>
    <row r="6" customFormat="false" ht="15" hidden="false" customHeight="false" outlineLevel="0" collapsed="false">
      <c r="A6" s="0" t="s">
        <v>21</v>
      </c>
      <c r="B6" s="0" t="s">
        <v>155</v>
      </c>
      <c r="C6" s="8" t="n">
        <v>27</v>
      </c>
      <c r="D6" s="8" t="n">
        <v>20</v>
      </c>
      <c r="E6" s="6" t="n">
        <v>-1.5</v>
      </c>
      <c r="F6" s="6" t="n">
        <v>6.2</v>
      </c>
      <c r="G6" s="8" t="n">
        <v>10</v>
      </c>
      <c r="H6" s="3" t="n">
        <f aca="false">IF(AND(C6&gt;0,D6&gt;0),(D6/C6)^(1/5)-1,"-")</f>
        <v>-0.0582551665017443</v>
      </c>
    </row>
    <row r="7" customFormat="false" ht="15" hidden="false" customHeight="false" outlineLevel="0" collapsed="false">
      <c r="A7" s="0" t="s">
        <v>30</v>
      </c>
      <c r="B7" s="0" t="s">
        <v>156</v>
      </c>
      <c r="C7" s="8" t="n">
        <v>2800</v>
      </c>
      <c r="D7" s="8" t="n">
        <v>3200</v>
      </c>
      <c r="E7" s="6" t="n">
        <v>4.5</v>
      </c>
      <c r="F7" s="6" t="n">
        <v>4.8</v>
      </c>
      <c r="G7" s="8" t="n">
        <v>7</v>
      </c>
      <c r="H7" s="3" t="n">
        <f aca="false">IF(AND(C7&gt;0,D7&gt;0),(D7/C7)^(1/5)-1,"-")</f>
        <v>0.0270660870893518</v>
      </c>
    </row>
    <row r="8" customFormat="false" ht="15" hidden="false" customHeight="false" outlineLevel="0" collapsed="false">
      <c r="A8" s="0" t="s">
        <v>23</v>
      </c>
      <c r="B8" s="0" t="s">
        <v>157</v>
      </c>
      <c r="C8" s="8" t="n">
        <v>30</v>
      </c>
      <c r="D8" s="8" t="n">
        <v>38</v>
      </c>
      <c r="E8" s="6" t="n">
        <v>8.5</v>
      </c>
      <c r="F8" s="6" t="n">
        <v>7.5</v>
      </c>
      <c r="G8" s="8" t="n">
        <v>5</v>
      </c>
      <c r="H8" s="3" t="n">
        <f aca="false">IF(AND(C8&gt;0,D8&gt;0),(D8/C8)^(1/5)-1,"-")</f>
        <v>0.0484131712847216</v>
      </c>
    </row>
    <row r="9" customFormat="false" ht="15" hidden="false" customHeight="false" outlineLevel="0" collapsed="false">
      <c r="A9" s="0" t="s">
        <v>67</v>
      </c>
      <c r="B9" s="0" t="s">
        <v>158</v>
      </c>
      <c r="C9" s="8" t="n">
        <v>54</v>
      </c>
      <c r="D9" s="8" t="n">
        <v>175</v>
      </c>
      <c r="E9" s="6" t="n">
        <v>32.5</v>
      </c>
      <c r="F9" s="6" t="n">
        <v>2.5</v>
      </c>
      <c r="G9" s="8" t="n">
        <v>214</v>
      </c>
      <c r="H9" s="3" t="n">
        <f aca="false">IF(AND(C9&gt;0,D9&gt;0),(D9/C9)^(1/5)-1,"-")</f>
        <v>0.26511165799242</v>
      </c>
    </row>
    <row r="10" customFormat="false" ht="15" hidden="false" customHeight="false" outlineLevel="0" collapsed="false">
      <c r="A10" s="0" t="s">
        <v>70</v>
      </c>
      <c r="B10" s="0" t="s">
        <v>70</v>
      </c>
      <c r="C10" s="8" t="n">
        <v>28</v>
      </c>
      <c r="D10" s="8" t="n">
        <v>148</v>
      </c>
      <c r="E10" s="6" t="n">
        <v>46.2</v>
      </c>
      <c r="F10" s="6" t="n">
        <v>0.5</v>
      </c>
      <c r="G10" s="8" t="n">
        <v>130</v>
      </c>
      <c r="H10" s="3" t="n">
        <f aca="false">IF(AND(C10&gt;0,D10&gt;0),(D10/C10)^(1/5)-1,"-")</f>
        <v>0.395149464741505</v>
      </c>
    </row>
    <row r="11" customFormat="false" ht="15" hidden="false" customHeight="false" outlineLevel="0" collapsed="false">
      <c r="A11" s="0" t="s">
        <v>71</v>
      </c>
      <c r="B11" s="0" t="s">
        <v>159</v>
      </c>
      <c r="C11" s="8" t="n">
        <v>45</v>
      </c>
      <c r="D11" s="8" t="n">
        <v>175</v>
      </c>
      <c r="E11" s="6" t="n">
        <v>35.8</v>
      </c>
      <c r="F11" s="6" t="n">
        <v>1.5</v>
      </c>
      <c r="G11" s="8" t="n">
        <v>100</v>
      </c>
      <c r="H11" s="3" t="n">
        <f aca="false">IF(AND(C11&gt;0,D11&gt;0),(D11/C11)^(1/5)-1,"-")</f>
        <v>0.312094475678451</v>
      </c>
    </row>
    <row r="12" customFormat="false" ht="15" hidden="false" customHeight="false" outlineLevel="0" collapsed="false">
      <c r="A12" s="0" t="s">
        <v>72</v>
      </c>
      <c r="B12" s="0" t="s">
        <v>160</v>
      </c>
      <c r="C12" s="8" t="n">
        <v>24</v>
      </c>
      <c r="D12" s="8" t="n">
        <v>48</v>
      </c>
      <c r="E12" s="6" t="n">
        <v>18.5</v>
      </c>
      <c r="F12" s="6" t="n">
        <v>3.2</v>
      </c>
      <c r="G12" s="8" t="n">
        <v>17</v>
      </c>
      <c r="H12" s="3" t="n">
        <f aca="false">IF(AND(C12&gt;0,D12&gt;0),(D12/C12)^(1/5)-1,"-")</f>
        <v>0.148698354997035</v>
      </c>
    </row>
    <row r="13" customFormat="false" ht="15" hidden="false" customHeight="false" outlineLevel="0" collapsed="false">
      <c r="A13" s="0" t="s">
        <v>73</v>
      </c>
      <c r="B13" s="0" t="s">
        <v>161</v>
      </c>
      <c r="C13" s="8" t="n">
        <v>28</v>
      </c>
      <c r="D13" s="8" t="n">
        <v>170</v>
      </c>
      <c r="E13" s="6" t="n">
        <v>50.5</v>
      </c>
      <c r="F13" s="6" t="n">
        <v>2.2</v>
      </c>
      <c r="G13" s="8" t="n">
        <v>52</v>
      </c>
      <c r="H13" s="3" t="n">
        <f aca="false">IF(AND(C13&gt;0,D13&gt;0),(D13/C13)^(1/5)-1,"-")</f>
        <v>0.434360041136382</v>
      </c>
    </row>
    <row r="14" customFormat="false" ht="15" hidden="false" customHeight="false" outlineLevel="0" collapsed="false">
      <c r="A14" s="0" t="s">
        <v>47</v>
      </c>
      <c r="B14" s="0" t="s">
        <v>162</v>
      </c>
      <c r="C14" s="8" t="n">
        <v>65</v>
      </c>
      <c r="D14" s="8" t="n">
        <v>68</v>
      </c>
      <c r="E14" s="6" t="n">
        <v>3.5</v>
      </c>
      <c r="F14" s="6" t="n">
        <v>6.5</v>
      </c>
      <c r="G14" s="8" t="n">
        <v>14</v>
      </c>
      <c r="H14" s="3" t="n">
        <f aca="false">IF(AND(C14&gt;0,D14&gt;0),(D14/C14)^(1/5)-1,"-")</f>
        <v>0.00906492688464367</v>
      </c>
    </row>
    <row r="15" customFormat="false" ht="15" hidden="false" customHeight="false" outlineLevel="0" collapsed="false">
      <c r="A15" s="0" t="s">
        <v>25</v>
      </c>
      <c r="B15" s="0" t="s">
        <v>163</v>
      </c>
      <c r="C15" s="8" t="n">
        <v>28</v>
      </c>
      <c r="D15" s="8" t="n">
        <v>42</v>
      </c>
      <c r="E15" s="6" t="n">
        <v>12.5</v>
      </c>
      <c r="F15" s="6" t="n">
        <v>2.8</v>
      </c>
      <c r="G15" s="8" t="n">
        <v>4</v>
      </c>
      <c r="H15" s="3" t="n">
        <f aca="false">IF(AND(C15&gt;0,D15&gt;0),(D15/C15)^(1/5)-1,"-")</f>
        <v>0.0844717711976986</v>
      </c>
    </row>
    <row r="16" customFormat="false" ht="15" hidden="false" customHeight="false" outlineLevel="0" collapsed="false">
      <c r="A16" s="0" t="s">
        <v>66</v>
      </c>
      <c r="B16" s="0" t="s">
        <v>164</v>
      </c>
      <c r="C16" s="8" t="n">
        <v>155</v>
      </c>
      <c r="D16" s="8" t="n">
        <v>540</v>
      </c>
      <c r="E16" s="6" t="n">
        <v>32</v>
      </c>
      <c r="F16" s="6" t="n">
        <v>1.2</v>
      </c>
      <c r="G16" s="8" t="n">
        <v>55</v>
      </c>
      <c r="H16" s="3" t="n">
        <f aca="false">IF(AND(C16&gt;0,D16&gt;0),(D16/C16)^(1/5)-1,"-")</f>
        <v>0.283548880716365</v>
      </c>
    </row>
    <row r="17" customFormat="false" ht="15" hidden="false" customHeight="false" outlineLevel="0" collapsed="false">
      <c r="A17" s="0" t="s">
        <v>31</v>
      </c>
      <c r="B17" s="0" t="s">
        <v>165</v>
      </c>
      <c r="C17" s="8" t="n">
        <v>34</v>
      </c>
      <c r="D17" s="8" t="n">
        <v>48</v>
      </c>
      <c r="E17" s="6" t="n">
        <v>10.5</v>
      </c>
      <c r="F17" s="6" t="n">
        <v>4.5</v>
      </c>
      <c r="G17" s="8" t="n">
        <v>5</v>
      </c>
      <c r="H17" s="3" t="n">
        <f aca="false">IF(AND(C17&gt;0,D17&gt;0),(D17/C17)^(1/5)-1,"-")</f>
        <v>0.071402027941007</v>
      </c>
    </row>
    <row r="18" customFormat="false" ht="15" hidden="false" customHeight="false" outlineLevel="0" collapsed="false">
      <c r="A18" s="0" t="s">
        <v>32</v>
      </c>
      <c r="B18" s="0" t="s">
        <v>166</v>
      </c>
      <c r="C18" s="8" t="n">
        <v>82</v>
      </c>
      <c r="D18" s="8" t="n">
        <v>190</v>
      </c>
      <c r="E18" s="6" t="n">
        <v>22</v>
      </c>
      <c r="F18" s="6" t="n">
        <v>0.1</v>
      </c>
      <c r="G18" s="8" t="n">
        <v>6</v>
      </c>
      <c r="H18" s="3" t="n">
        <f aca="false">IF(AND(C18&gt;0,D18&gt;0),(D18/C18)^(1/5)-1,"-")</f>
        <v>0.183008730552101</v>
      </c>
    </row>
    <row r="19" customFormat="false" ht="15" hidden="false" customHeight="false" outlineLevel="0" collapsed="false">
      <c r="A19" s="0" t="s">
        <v>34</v>
      </c>
      <c r="B19" s="0" t="s">
        <v>167</v>
      </c>
      <c r="C19" s="8" t="n">
        <v>28</v>
      </c>
      <c r="D19" s="8" t="n">
        <v>42</v>
      </c>
      <c r="E19" s="6" t="n">
        <v>12</v>
      </c>
      <c r="F19" s="6" t="n">
        <v>7</v>
      </c>
      <c r="G19" s="8" t="n">
        <v>3</v>
      </c>
      <c r="H19" s="3" t="n">
        <f aca="false">IF(AND(C19&gt;0,D19&gt;0),(D19/C19)^(1/5)-1,"-")</f>
        <v>0.0844717711976986</v>
      </c>
    </row>
    <row r="20" customFormat="false" ht="15" hidden="false" customHeight="false" outlineLevel="0" collapsed="false">
      <c r="A20" s="0" t="s">
        <v>40</v>
      </c>
      <c r="B20" s="0" t="s">
        <v>168</v>
      </c>
      <c r="C20" s="8" t="n">
        <v>48</v>
      </c>
      <c r="D20" s="8" t="n">
        <v>130</v>
      </c>
      <c r="E20" s="6" t="n">
        <v>28</v>
      </c>
      <c r="F20" s="6" t="n">
        <v>3</v>
      </c>
      <c r="G20" s="8" t="n">
        <v>200</v>
      </c>
      <c r="H20" s="3" t="n">
        <f aca="false">IF(AND(C20&gt;0,D20&gt;0),(D20/C20)^(1/5)-1,"-")</f>
        <v>0.220507417072632</v>
      </c>
    </row>
    <row r="21" customFormat="false" ht="15" hidden="false" customHeight="false" outlineLevel="0" collapsed="false">
      <c r="A21" s="0" t="s">
        <v>132</v>
      </c>
      <c r="B21" s="0" t="s">
        <v>169</v>
      </c>
      <c r="C21" s="8" t="n">
        <v>230</v>
      </c>
      <c r="D21" s="8" t="n">
        <v>585</v>
      </c>
      <c r="E21" s="6" t="n">
        <v>26</v>
      </c>
      <c r="F21" s="6" t="n">
        <v>2.2</v>
      </c>
      <c r="G21" s="8" t="n">
        <v>180</v>
      </c>
      <c r="H21" s="3" t="n">
        <f aca="false">IF(AND(C21&gt;0,D21&gt;0),(D21/C21)^(1/5)-1,"-")</f>
        <v>0.205273494598889</v>
      </c>
    </row>
    <row r="22" customFormat="false" ht="15" hidden="false" customHeight="false" outlineLevel="0" collapsed="false">
      <c r="A22" s="0" t="s">
        <v>170</v>
      </c>
      <c r="B22" s="0" t="s">
        <v>171</v>
      </c>
      <c r="C22" s="8" t="n">
        <v>90</v>
      </c>
      <c r="D22" s="8" t="n">
        <v>120</v>
      </c>
      <c r="E22" s="6" t="n">
        <v>8</v>
      </c>
      <c r="F22" s="6" t="n">
        <v>4.5</v>
      </c>
      <c r="G22" s="8" t="n">
        <v>43</v>
      </c>
      <c r="H22" s="3" t="n">
        <f aca="false">IF(AND(C22&gt;0,D22&gt;0),(D22/C22)^(1/5)-1,"-")</f>
        <v>0.0592238410488122</v>
      </c>
    </row>
    <row r="23" customFormat="false" ht="15" hidden="false" customHeight="false" outlineLevel="0" collapsed="false">
      <c r="A23" s="0" t="s">
        <v>61</v>
      </c>
      <c r="B23" s="0" t="s">
        <v>172</v>
      </c>
      <c r="C23" s="8" t="n">
        <v>55</v>
      </c>
      <c r="D23" s="8" t="n">
        <v>78</v>
      </c>
      <c r="E23" s="6" t="n">
        <v>10.5</v>
      </c>
      <c r="F23" s="6" t="n">
        <v>3.6</v>
      </c>
      <c r="G23" s="8" t="n">
        <v>20</v>
      </c>
      <c r="H23" s="3" t="n">
        <f aca="false">IF(AND(C23&gt;0,D23&gt;0),(D23/C23)^(1/5)-1,"-")</f>
        <v>0.0723742636865934</v>
      </c>
    </row>
    <row r="24" customFormat="false" ht="15" hidden="false" customHeight="false" outlineLevel="0" collapsed="false">
      <c r="A24" s="0" t="s">
        <v>63</v>
      </c>
      <c r="B24" s="0" t="s">
        <v>173</v>
      </c>
      <c r="C24" s="8" t="n">
        <v>55</v>
      </c>
      <c r="D24" s="8" t="n">
        <v>82</v>
      </c>
      <c r="E24" s="6" t="n">
        <v>12</v>
      </c>
      <c r="F24" s="6" t="n">
        <v>2.2</v>
      </c>
      <c r="G24" s="8" t="n">
        <v>9</v>
      </c>
      <c r="H24" s="3" t="n">
        <f aca="false">IF(AND(C24&gt;0,D24&gt;0),(D24/C24)^(1/5)-1,"-")</f>
        <v>0.0831540616286068</v>
      </c>
    </row>
    <row r="25" customFormat="false" ht="15" hidden="false" customHeight="false" outlineLevel="0" collapsed="false">
      <c r="A25" s="0" t="s">
        <v>60</v>
      </c>
      <c r="B25" s="0" t="s">
        <v>174</v>
      </c>
      <c r="C25" s="8" t="n">
        <v>18</v>
      </c>
      <c r="D25" s="8" t="n">
        <v>32</v>
      </c>
      <c r="E25" s="6" t="n">
        <v>15.5</v>
      </c>
      <c r="F25" s="6" t="n">
        <v>4.2</v>
      </c>
      <c r="G25" s="8" t="n">
        <v>52</v>
      </c>
      <c r="H25" s="3" t="n">
        <f aca="false">IF(AND(C25&gt;0,D25&gt;0),(D25/C25)^(1/5)-1,"-")</f>
        <v>0.1219551454462</v>
      </c>
    </row>
    <row r="26" customFormat="false" ht="15" hidden="false" customHeight="false" outlineLevel="0" collapsed="false">
      <c r="A26" s="0" t="s">
        <v>69</v>
      </c>
      <c r="B26" s="0" t="s">
        <v>175</v>
      </c>
      <c r="C26" s="8" t="n">
        <v>40</v>
      </c>
      <c r="D26" s="8" t="n">
        <v>65</v>
      </c>
      <c r="E26" s="6" t="n">
        <v>14</v>
      </c>
      <c r="F26" s="6" t="n">
        <v>0.8</v>
      </c>
      <c r="G26" s="8" t="n">
        <v>95</v>
      </c>
      <c r="H26" s="3" t="n">
        <f aca="false">IF(AND(C26&gt;0,D26&gt;0),(D26/C26)^(1/5)-1,"-")</f>
        <v>0.10197228772148</v>
      </c>
    </row>
    <row r="27" customFormat="false" ht="15" hidden="false" customHeight="false" outlineLevel="0" collapsed="false">
      <c r="A27" s="0" t="s">
        <v>75</v>
      </c>
      <c r="B27" s="0" t="s">
        <v>176</v>
      </c>
      <c r="C27" s="8" t="n">
        <v>125</v>
      </c>
      <c r="D27" s="8" t="n">
        <v>210</v>
      </c>
      <c r="E27" s="6" t="n">
        <v>14</v>
      </c>
      <c r="F27" s="6" t="n">
        <v>3.5</v>
      </c>
      <c r="G27" s="8" t="n">
        <v>65</v>
      </c>
      <c r="H27" s="3" t="n">
        <f aca="false">IF(AND(C27&gt;0,D27&gt;0),(D27/C27)^(1/5)-1,"-")</f>
        <v>0.109332805725852</v>
      </c>
    </row>
    <row r="28" customFormat="false" ht="15" hidden="false" customHeight="false" outlineLevel="0" collapsed="false">
      <c r="A28" s="0" t="s">
        <v>57</v>
      </c>
      <c r="B28" s="0" t="s">
        <v>177</v>
      </c>
      <c r="C28" s="8" t="n">
        <v>2.5</v>
      </c>
      <c r="D28" s="8" t="n">
        <v>2.2</v>
      </c>
      <c r="E28" s="6" t="n">
        <v>0.5</v>
      </c>
      <c r="F28" s="6" t="n">
        <v>9.5</v>
      </c>
      <c r="G28" s="8" t="n">
        <v>16</v>
      </c>
      <c r="H28" s="3" t="n">
        <f aca="false">IF(AND(C28&gt;0,D28&gt;0),(D28/C28)^(1/5)-1,"-")</f>
        <v>-0.0252426144692079</v>
      </c>
    </row>
    <row r="29" customFormat="false" ht="15" hidden="false" customHeight="false" outlineLevel="0" collapsed="false">
      <c r="A29" s="0" t="s">
        <v>58</v>
      </c>
      <c r="B29" s="0" t="s">
        <v>178</v>
      </c>
      <c r="C29" s="8" t="n">
        <v>1.8</v>
      </c>
      <c r="D29" s="8" t="n">
        <v>2.1</v>
      </c>
      <c r="E29" s="6" t="n">
        <v>5.5</v>
      </c>
      <c r="F29" s="6" t="n">
        <v>10</v>
      </c>
      <c r="G29" s="8" t="n">
        <v>5</v>
      </c>
      <c r="H29" s="3" t="n">
        <f aca="false">IF(AND(C29&gt;0,D29&gt;0),(D29/C29)^(1/5)-1,"-")</f>
        <v>0.0313103064775451</v>
      </c>
    </row>
    <row r="30" customFormat="false" ht="15" hidden="false" customHeight="false" outlineLevel="0" collapsed="false">
      <c r="A30" s="0" t="s">
        <v>179</v>
      </c>
      <c r="B30" s="0" t="s">
        <v>180</v>
      </c>
      <c r="C30" s="8" t="n">
        <v>14</v>
      </c>
      <c r="D30" s="8" t="n">
        <v>3</v>
      </c>
      <c r="E30" s="6" t="n">
        <v>-25</v>
      </c>
      <c r="F30" s="6" t="n">
        <v>7</v>
      </c>
      <c r="G30" s="8" t="n">
        <v>0.2</v>
      </c>
      <c r="H30" s="3" t="n">
        <f aca="false">IF(AND(C30&gt;0,D30&gt;0),(D30/C30)^(1/5)-1,"-")</f>
        <v>-0.26515009256169</v>
      </c>
    </row>
    <row r="32" customFormat="false" ht="15" hidden="false" customHeight="false" outlineLevel="0" collapsed="false">
      <c r="A32" s="7" t="s">
        <v>181</v>
      </c>
    </row>
    <row r="33" customFormat="false" ht="15" hidden="false" customHeight="false" outlineLevel="0" collapsed="false">
      <c r="A33" s="0" t="s">
        <v>182</v>
      </c>
    </row>
    <row r="34" customFormat="false" ht="15" hidden="false" customHeight="false" outlineLevel="0" collapsed="false">
      <c r="A34" s="0" t="s">
        <v>183</v>
      </c>
    </row>
    <row r="35" customFormat="false" ht="15" hidden="false" customHeight="false" outlineLevel="0" collapsed="false">
      <c r="A35" s="0" t="s">
        <v>184</v>
      </c>
    </row>
    <row r="36" customFormat="false" ht="15" hidden="false" customHeight="false" outlineLevel="0" collapsed="false">
      <c r="A36" s="0" t="s">
        <v>185</v>
      </c>
    </row>
    <row r="37" customFormat="false" ht="15" hidden="false" customHeight="false" outlineLevel="0" collapsed="false">
      <c r="A37" s="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45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9" t="s">
        <v>187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188</v>
      </c>
      <c r="B3" s="10" t="s">
        <v>189</v>
      </c>
      <c r="C3" s="10" t="s">
        <v>190</v>
      </c>
      <c r="D3" s="10" t="s">
        <v>191</v>
      </c>
    </row>
    <row r="4" customFormat="false" ht="15" hidden="false" customHeight="false" outlineLevel="0" collapsed="false">
      <c r="A4" s="0" t="s">
        <v>192</v>
      </c>
      <c r="B4" s="0" t="s">
        <v>193</v>
      </c>
      <c r="C4" s="0" t="s">
        <v>194</v>
      </c>
      <c r="D4" s="0" t="s">
        <v>195</v>
      </c>
    </row>
    <row r="5" customFormat="false" ht="15" hidden="false" customHeight="false" outlineLevel="0" collapsed="false">
      <c r="A5" s="0" t="s">
        <v>196</v>
      </c>
      <c r="B5" s="0" t="s">
        <v>197</v>
      </c>
      <c r="C5" s="0" t="s">
        <v>198</v>
      </c>
      <c r="D5" s="0" t="s">
        <v>199</v>
      </c>
    </row>
    <row r="6" customFormat="false" ht="15" hidden="false" customHeight="false" outlineLevel="0" collapsed="false">
      <c r="A6" s="0" t="s">
        <v>200</v>
      </c>
      <c r="B6" s="0" t="s">
        <v>201</v>
      </c>
      <c r="C6" s="0" t="s">
        <v>202</v>
      </c>
      <c r="D6" s="0" t="s">
        <v>203</v>
      </c>
    </row>
    <row r="7" customFormat="false" ht="15" hidden="false" customHeight="false" outlineLevel="0" collapsed="false">
      <c r="A7" s="0" t="s">
        <v>204</v>
      </c>
      <c r="B7" s="0" t="s">
        <v>205</v>
      </c>
      <c r="C7" s="0" t="s">
        <v>206</v>
      </c>
      <c r="D7" s="0" t="s">
        <v>207</v>
      </c>
    </row>
    <row r="8" customFormat="false" ht="15" hidden="false" customHeight="false" outlineLevel="0" collapsed="false">
      <c r="A8" s="0" t="s">
        <v>208</v>
      </c>
      <c r="B8" s="0" t="s">
        <v>209</v>
      </c>
      <c r="C8" s="0" t="s">
        <v>210</v>
      </c>
      <c r="D8" s="0" t="s">
        <v>211</v>
      </c>
    </row>
    <row r="9" customFormat="false" ht="15" hidden="false" customHeight="false" outlineLevel="0" collapsed="false">
      <c r="A9" s="0" t="s">
        <v>212</v>
      </c>
      <c r="B9" s="0" t="s">
        <v>213</v>
      </c>
      <c r="C9" s="0" t="s">
        <v>214</v>
      </c>
      <c r="D9" s="0" t="s">
        <v>215</v>
      </c>
    </row>
    <row r="10" customFormat="false" ht="15" hidden="false" customHeight="false" outlineLevel="0" collapsed="false">
      <c r="A10" s="0" t="s">
        <v>216</v>
      </c>
      <c r="B10" s="0" t="s">
        <v>217</v>
      </c>
      <c r="C10" s="0" t="s">
        <v>218</v>
      </c>
      <c r="D10" s="0" t="s">
        <v>219</v>
      </c>
    </row>
    <row r="12" customFormat="false" ht="15" hidden="false" customHeight="false" outlineLevel="0" collapsed="false">
      <c r="A12" s="7" t="s">
        <v>220</v>
      </c>
    </row>
    <row r="13" customFormat="false" ht="15" hidden="false" customHeight="false" outlineLevel="0" collapsed="false">
      <c r="A13" s="10" t="s">
        <v>221</v>
      </c>
      <c r="B13" s="10" t="s">
        <v>222</v>
      </c>
      <c r="C13" s="10" t="s">
        <v>223</v>
      </c>
      <c r="D13" s="10" t="s">
        <v>224</v>
      </c>
      <c r="E13" s="10" t="s">
        <v>225</v>
      </c>
      <c r="F13" s="10" t="s">
        <v>226</v>
      </c>
    </row>
    <row r="14" customFormat="false" ht="15" hidden="false" customHeight="false" outlineLevel="0" collapsed="false">
      <c r="A14" s="0" t="s">
        <v>227</v>
      </c>
      <c r="B14" s="0" t="s">
        <v>228</v>
      </c>
      <c r="C14" s="0" t="s">
        <v>229</v>
      </c>
      <c r="D14" s="0" t="s">
        <v>230</v>
      </c>
      <c r="E14" s="0" t="s">
        <v>231</v>
      </c>
      <c r="F14" s="0" t="s">
        <v>232</v>
      </c>
    </row>
    <row r="15" customFormat="false" ht="15" hidden="false" customHeight="false" outlineLevel="0" collapsed="false">
      <c r="A15" s="0" t="s">
        <v>233</v>
      </c>
      <c r="B15" s="0" t="s">
        <v>234</v>
      </c>
      <c r="C15" s="0" t="s">
        <v>235</v>
      </c>
      <c r="D15" s="0" t="s">
        <v>236</v>
      </c>
      <c r="E15" s="0" t="s">
        <v>237</v>
      </c>
      <c r="F15" s="0" t="s">
        <v>238</v>
      </c>
    </row>
    <row r="16" customFormat="false" ht="15" hidden="false" customHeight="false" outlineLevel="0" collapsed="false">
      <c r="A16" s="0" t="s">
        <v>239</v>
      </c>
      <c r="B16" s="0" t="s">
        <v>240</v>
      </c>
      <c r="C16" s="0" t="s">
        <v>241</v>
      </c>
      <c r="D16" s="0" t="s">
        <v>242</v>
      </c>
      <c r="E16" s="0" t="s">
        <v>243</v>
      </c>
      <c r="F16" s="0" t="s">
        <v>244</v>
      </c>
    </row>
    <row r="17" customFormat="false" ht="15" hidden="false" customHeight="false" outlineLevel="0" collapsed="false">
      <c r="A17" s="0" t="s">
        <v>245</v>
      </c>
      <c r="B17" s="0" t="s">
        <v>246</v>
      </c>
      <c r="C17" s="0" t="s">
        <v>247</v>
      </c>
      <c r="D17" s="0" t="s">
        <v>248</v>
      </c>
      <c r="E17" s="0" t="s">
        <v>243</v>
      </c>
      <c r="F17" s="0" t="s">
        <v>249</v>
      </c>
    </row>
    <row r="18" customFormat="false" ht="15" hidden="false" customHeight="false" outlineLevel="0" collapsed="false">
      <c r="A18" s="0" t="s">
        <v>250</v>
      </c>
      <c r="B18" s="0" t="s">
        <v>251</v>
      </c>
      <c r="C18" s="0" t="s">
        <v>252</v>
      </c>
      <c r="D18" s="0" t="s">
        <v>253</v>
      </c>
      <c r="E18" s="0" t="s">
        <v>254</v>
      </c>
      <c r="F18" s="0" t="s">
        <v>255</v>
      </c>
    </row>
    <row r="19" customFormat="false" ht="15" hidden="false" customHeight="false" outlineLevel="0" collapsed="false">
      <c r="A19" s="0" t="s">
        <v>256</v>
      </c>
      <c r="B19" s="0" t="s">
        <v>257</v>
      </c>
      <c r="C19" s="0" t="s">
        <v>258</v>
      </c>
      <c r="D19" s="0" t="s">
        <v>259</v>
      </c>
      <c r="E19" s="0" t="s">
        <v>260</v>
      </c>
      <c r="F19" s="0" t="s">
        <v>261</v>
      </c>
    </row>
    <row r="20" customFormat="false" ht="15" hidden="false" customHeight="false" outlineLevel="0" collapsed="false">
      <c r="A20" s="0" t="s">
        <v>262</v>
      </c>
      <c r="B20" s="0" t="s">
        <v>263</v>
      </c>
      <c r="C20" s="0" t="s">
        <v>264</v>
      </c>
      <c r="D20" s="0" t="s">
        <v>265</v>
      </c>
      <c r="E20" s="0" t="s">
        <v>237</v>
      </c>
      <c r="F20" s="0" t="s">
        <v>266</v>
      </c>
    </row>
    <row r="22" customFormat="false" ht="15" hidden="false" customHeight="false" outlineLevel="0" collapsed="false">
      <c r="A22" s="7" t="s">
        <v>267</v>
      </c>
    </row>
    <row r="23" customFormat="false" ht="15" hidden="false" customHeight="false" outlineLevel="0" collapsed="false">
      <c r="A23" s="0" t="s">
        <v>268</v>
      </c>
    </row>
    <row r="24" customFormat="false" ht="15" hidden="false" customHeight="false" outlineLevel="0" collapsed="false">
      <c r="A24" s="0" t="s">
        <v>269</v>
      </c>
    </row>
    <row r="25" customFormat="false" ht="15" hidden="false" customHeight="false" outlineLevel="0" collapsed="false">
      <c r="A25" s="0" t="s">
        <v>270</v>
      </c>
    </row>
    <row r="26" customFormat="false" ht="15" hidden="false" customHeight="false" outlineLevel="0" collapsed="false">
      <c r="A26" s="0" t="s">
        <v>271</v>
      </c>
    </row>
    <row r="27" customFormat="false" ht="15" hidden="false" customHeight="false" outlineLevel="0" collapsed="false">
      <c r="A27" s="0" t="s">
        <v>272</v>
      </c>
    </row>
    <row r="28" customFormat="false" ht="15" hidden="false" customHeight="false" outlineLevel="0" collapsed="false">
      <c r="A28" s="0" t="s">
        <v>273</v>
      </c>
    </row>
    <row r="29" customFormat="false" ht="15" hidden="false" customHeight="false" outlineLevel="0" collapsed="false">
      <c r="A29" s="0" t="s">
        <v>274</v>
      </c>
    </row>
    <row r="30" customFormat="false" ht="15" hidden="false" customHeight="false" outlineLevel="0" collapsed="false">
      <c r="A30" s="0" t="s">
        <v>275</v>
      </c>
    </row>
    <row r="31" customFormat="false" ht="15" hidden="false" customHeight="false" outlineLevel="0" collapsed="false">
      <c r="A31" s="0" t="s">
        <v>276</v>
      </c>
    </row>
    <row r="32" customFormat="false" ht="15" hidden="false" customHeight="false" outlineLevel="0" collapsed="false">
      <c r="A32" s="0" t="s">
        <v>277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1" t="s">
        <v>278</v>
      </c>
    </row>
    <row r="3" customFormat="false" ht="15" hidden="false" customHeight="false" outlineLevel="0" collapsed="false">
      <c r="A3" s="10" t="s">
        <v>279</v>
      </c>
      <c r="B3" s="10" t="s">
        <v>280</v>
      </c>
      <c r="C3" s="10" t="s">
        <v>281</v>
      </c>
    </row>
    <row r="4" customFormat="false" ht="15" hidden="false" customHeight="false" outlineLevel="0" collapsed="false">
      <c r="A4" s="0" t="s">
        <v>282</v>
      </c>
      <c r="B4" s="0" t="s">
        <v>283</v>
      </c>
      <c r="C4" s="0" t="s">
        <v>284</v>
      </c>
    </row>
    <row r="5" customFormat="false" ht="15" hidden="false" customHeight="false" outlineLevel="0" collapsed="false">
      <c r="A5" s="0" t="s">
        <v>285</v>
      </c>
      <c r="B5" s="0" t="s">
        <v>286</v>
      </c>
      <c r="C5" s="0" t="s">
        <v>287</v>
      </c>
    </row>
    <row r="6" customFormat="false" ht="15" hidden="false" customHeight="false" outlineLevel="0" collapsed="false">
      <c r="A6" s="0" t="s">
        <v>288</v>
      </c>
      <c r="B6" s="0" t="s">
        <v>289</v>
      </c>
      <c r="C6" s="0" t="s">
        <v>290</v>
      </c>
    </row>
    <row r="7" customFormat="false" ht="15" hidden="false" customHeight="false" outlineLevel="0" collapsed="false">
      <c r="A7" s="0" t="s">
        <v>291</v>
      </c>
      <c r="B7" s="0" t="s">
        <v>292</v>
      </c>
      <c r="C7" s="0" t="s">
        <v>293</v>
      </c>
    </row>
    <row r="8" customFormat="false" ht="15" hidden="false" customHeight="false" outlineLevel="0" collapsed="false">
      <c r="A8" s="0" t="s">
        <v>294</v>
      </c>
      <c r="B8" s="0" t="s">
        <v>295</v>
      </c>
      <c r="C8" s="0" t="s">
        <v>296</v>
      </c>
    </row>
    <row r="9" customFormat="false" ht="15" hidden="false" customHeight="false" outlineLevel="0" collapsed="false">
      <c r="A9" s="0" t="s">
        <v>297</v>
      </c>
      <c r="B9" s="0" t="s">
        <v>298</v>
      </c>
      <c r="C9" s="0" t="s">
        <v>299</v>
      </c>
    </row>
    <row r="10" customFormat="false" ht="15" hidden="false" customHeight="false" outlineLevel="0" collapsed="false">
      <c r="A10" s="0" t="s">
        <v>300</v>
      </c>
      <c r="B10" s="0" t="s">
        <v>301</v>
      </c>
      <c r="C10" s="0" t="s">
        <v>302</v>
      </c>
    </row>
    <row r="12" customFormat="false" ht="15" hidden="false" customHeight="false" outlineLevel="0" collapsed="false">
      <c r="A12" s="0" t="s">
        <v>303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10" t="s">
        <v>0</v>
      </c>
      <c r="B14" s="10" t="s">
        <v>304</v>
      </c>
    </row>
    <row r="15" customFormat="false" ht="15" hidden="false" customHeight="false" outlineLevel="0" collapsed="false">
      <c r="A15" s="0" t="s">
        <v>86</v>
      </c>
      <c r="B15" s="0" t="s">
        <v>305</v>
      </c>
    </row>
    <row r="16" customFormat="false" ht="15" hidden="false" customHeight="false" outlineLevel="0" collapsed="false">
      <c r="A16" s="0" t="s">
        <v>88</v>
      </c>
      <c r="B16" s="0" t="s">
        <v>306</v>
      </c>
    </row>
    <row r="17" customFormat="false" ht="15" hidden="false" customHeight="false" outlineLevel="0" collapsed="false">
      <c r="A17" s="0" t="s">
        <v>92</v>
      </c>
      <c r="B17" s="0" t="s">
        <v>307</v>
      </c>
    </row>
    <row r="18" customFormat="false" ht="15" hidden="false" customHeight="false" outlineLevel="0" collapsed="false">
      <c r="A18" s="0" t="s">
        <v>90</v>
      </c>
      <c r="B18" s="0" t="s">
        <v>308</v>
      </c>
    </row>
    <row r="19" customFormat="false" ht="15" hidden="false" customHeight="false" outlineLevel="0" collapsed="false">
      <c r="A19" s="0" t="s">
        <v>94</v>
      </c>
      <c r="B19" s="0" t="s">
        <v>309</v>
      </c>
    </row>
    <row r="20" customFormat="false" ht="15" hidden="false" customHeight="false" outlineLevel="0" collapsed="false">
      <c r="A20" s="0" t="s">
        <v>78</v>
      </c>
      <c r="B20" s="0" t="s">
        <v>310</v>
      </c>
    </row>
    <row r="21" customFormat="false" ht="15" hidden="false" customHeight="false" outlineLevel="0" collapsed="false">
      <c r="A21" s="0" t="s">
        <v>82</v>
      </c>
      <c r="B21" s="0" t="s">
        <v>311</v>
      </c>
    </row>
    <row r="23" customFormat="false" ht="15" hidden="false" customHeight="false" outlineLevel="0" collapsed="false">
      <c r="A23" s="0" t="s">
        <v>312</v>
      </c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0" t="s">
        <v>313</v>
      </c>
    </row>
    <row r="26" customFormat="false" ht="15" hidden="false" customHeight="false" outlineLevel="0" collapsed="false">
      <c r="A26" s="0" t="s">
        <v>314</v>
      </c>
    </row>
    <row r="27" customFormat="false" ht="15" hidden="false" customHeight="false" outlineLevel="0" collapsed="false">
      <c r="A27" s="0" t="s">
        <v>315</v>
      </c>
    </row>
    <row r="28" customFormat="false" ht="15" hidden="false" customHeight="false" outlineLevel="0" collapsed="false">
      <c r="A28" s="0" t="s">
        <v>316</v>
      </c>
    </row>
    <row r="29" customFormat="false" ht="15" hidden="false" customHeight="false" outlineLevel="0" collapsed="false">
      <c r="A29" s="0" t="s">
        <v>317</v>
      </c>
    </row>
    <row r="30" customFormat="false" ht="15" hidden="false" customHeight="false" outlineLevel="0" collapsed="false">
      <c r="A30" s="0" t="s">
        <v>318</v>
      </c>
    </row>
    <row r="31" customFormat="false" ht="15" hidden="false" customHeight="false" outlineLevel="0" collapsed="false">
      <c r="A31" s="0" t="s">
        <v>319</v>
      </c>
    </row>
    <row r="32" customFormat="false" ht="15" hidden="false" customHeight="false" outlineLevel="0" collapsed="false">
      <c r="A32" s="0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2026-01-16T23:59:34Z</dcterms:created>
  <dc:creator>openpyxl</dc:creator>
  <dc:description/>
  <dc:language>en-US</dc:language>
  <cp:lastModifiedBy/>
  <dcterms:modified xsi:type="dcterms:W3CDTF">2026-01-16T23:59:34Z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